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'Wires'!$A$1:$Z$46</definedName>
    <definedName name="_xlnm._FilterDatabase" localSheetId="2" hidden="1">'Connectors'!$A$1:$T$32</definedName>
    <definedName name="_xlnm._FilterDatabase" localSheetId="3" hidden="1">'Pins'!$A$1:$O$124</definedName>
    <definedName name="_xlnm._FilterDatabase" localSheetId="4" hidden="1">'Parts'!$A$1:$H$1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b val="1"/>
      <sz val="14"/>
    </font>
    <font>
      <name val="Arial"/>
      <b val="1"/>
      <sz val="10"/>
    </font>
    <font>
      <name val="Arial"/>
      <i val="1"/>
      <color rgb="00C55A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Teste: car harness DASH/RASPBOX: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Car_Harnes_DASH_RASPBOX_Pinouts.xlsx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W-TEST-CAR-001</t>
        </is>
      </c>
      <c r="B2" s="9" t="inlineStr">
        <is>
          <t>TEST-CAR</t>
        </is>
      </c>
      <c r="C2" s="9" t="inlineStr">
        <is>
          <t>BOTS-1</t>
        </is>
      </c>
      <c r="D2" s="9" t="inlineStr">
        <is>
          <t>BOTS</t>
        </is>
      </c>
      <c r="E2" s="9" t="inlineStr">
        <is>
          <t>1</t>
        </is>
      </c>
      <c r="F2" s="9" t="inlineStr">
        <is>
          <t>SPL BOTS-1</t>
        </is>
      </c>
      <c r="G2" s="9" t="inlineStr">
        <is>
          <t>S</t>
        </is>
      </c>
      <c r="H2" s="9" t="inlineStr">
        <is>
          <t>VT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n"/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n"/>
      <c r="T2" s="9" t="inlineStr">
        <is>
          <t>1 ponta (folha ShutDown Circuit)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W-TEST-CAR-002</t>
        </is>
      </c>
      <c r="B3" s="9" t="inlineStr">
        <is>
          <t>TEST-CAR</t>
        </is>
      </c>
      <c r="C3" s="9" t="inlineStr">
        <is>
          <t>BOTS-1</t>
        </is>
      </c>
      <c r="D3" s="9" t="inlineStr">
        <is>
          <t>SPL BOTS-1</t>
        </is>
      </c>
      <c r="E3" s="9" t="inlineStr">
        <is>
          <t>S</t>
        </is>
      </c>
      <c r="F3" s="9" t="inlineStr">
        <is>
          <t>LVBOX J1</t>
        </is>
      </c>
      <c r="G3" s="9" t="inlineStr">
        <is>
          <t>B</t>
        </is>
      </c>
      <c r="H3" s="9" t="inlineStr">
        <is>
          <t>VT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n"/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n"/>
      <c r="T3" s="9" t="inlineStr">
        <is>
          <t>1 ponta (folha ShutDown Circuit)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W-TEST-CAR-003</t>
        </is>
      </c>
      <c r="B4" s="9" t="inlineStr">
        <is>
          <t>TEST-CAR</t>
        </is>
      </c>
      <c r="C4" s="9" t="inlineStr">
        <is>
          <t>BOTS-1</t>
        </is>
      </c>
      <c r="D4" s="9" t="inlineStr">
        <is>
          <t>SPL BOTS-1</t>
        </is>
      </c>
      <c r="E4" s="9" t="inlineStr">
        <is>
          <t>S</t>
        </is>
      </c>
      <c r="F4" s="9" t="inlineStr">
        <is>
          <t>ACQUISITION 1 J2</t>
        </is>
      </c>
      <c r="G4" s="9" t="inlineStr">
        <is>
          <t>6</t>
        </is>
      </c>
      <c r="H4" s="9" t="inlineStr">
        <is>
          <t>VT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n"/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Measure point RES</t>
        </is>
      </c>
      <c r="T4" s="9" t="inlineStr">
        <is>
          <t>1 ponta (folha ShutDown Circuit)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9" t="inlineStr">
        <is>
          <t>W-TEST-CAR-004</t>
        </is>
      </c>
      <c r="B5" s="9" t="inlineStr">
        <is>
          <t>TEST-CAR</t>
        </is>
      </c>
      <c r="C5" s="9" t="inlineStr">
        <is>
          <t>BOTS-1</t>
        </is>
      </c>
      <c r="D5" s="9" t="inlineStr">
        <is>
          <t>SPL BOTS-1</t>
        </is>
      </c>
      <c r="E5" s="9" t="inlineStr">
        <is>
          <t>S</t>
        </is>
      </c>
      <c r="F5" s="9" t="inlineStr">
        <is>
          <t>PDM J2</t>
        </is>
      </c>
      <c r="G5" s="9" t="inlineStr">
        <is>
          <t>4</t>
        </is>
      </c>
      <c r="H5" s="9" t="inlineStr">
        <is>
          <t>VT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n"/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n"/>
      <c r="T5" s="9" t="inlineStr">
        <is>
          <t>1 ponta (folha ShutDown Circuit)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9" t="inlineStr">
        <is>
          <t>W-TEST-CAR-005</t>
        </is>
      </c>
      <c r="B6" s="9" t="inlineStr">
        <is>
          <t>TEST-CAR</t>
        </is>
      </c>
      <c r="C6" s="9" t="inlineStr">
        <is>
          <t>BOTS-2</t>
        </is>
      </c>
      <c r="D6" s="9" t="inlineStr">
        <is>
          <t>BOTS</t>
        </is>
      </c>
      <c r="E6" s="9" t="inlineStr">
        <is>
          <t>2</t>
        </is>
      </c>
      <c r="F6" s="9" t="inlineStr">
        <is>
          <t>SPL BOTS-2</t>
        </is>
      </c>
      <c r="G6" s="9" t="inlineStr">
        <is>
          <t>S</t>
        </is>
      </c>
      <c r="H6" s="9" t="inlineStr">
        <is>
          <t>VT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n"/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n"/>
      <c r="T6" s="9" t="inlineStr">
        <is>
          <t>1 ponta (folha ShutDown Circuit)</t>
        </is>
      </c>
      <c r="U6" s="9" t="n"/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9" t="inlineStr">
        <is>
          <t>W-TEST-CAR-006</t>
        </is>
      </c>
      <c r="B7" s="9" t="inlineStr">
        <is>
          <t>TEST-CAR</t>
        </is>
      </c>
      <c r="C7" s="9" t="inlineStr">
        <is>
          <t>BOTS-2</t>
        </is>
      </c>
      <c r="D7" s="9" t="inlineStr">
        <is>
          <t>SPL BOTS-2</t>
        </is>
      </c>
      <c r="E7" s="9" t="inlineStr">
        <is>
          <t>S</t>
        </is>
      </c>
      <c r="F7" s="9" t="inlineStr">
        <is>
          <t>INERTIA</t>
        </is>
      </c>
      <c r="G7" s="9" t="inlineStr">
        <is>
          <t>1</t>
        </is>
      </c>
      <c r="H7" s="9" t="inlineStr">
        <is>
          <t>VT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n"/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n"/>
      <c r="T7" s="9" t="inlineStr">
        <is>
          <t>2 pontas</t>
        </is>
      </c>
      <c r="U7" s="9" t="n"/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9" t="inlineStr">
        <is>
          <t>W-TEST-CAR-007</t>
        </is>
      </c>
      <c r="B8" s="9" t="inlineStr">
        <is>
          <t>TEST-CAR</t>
        </is>
      </c>
      <c r="C8" s="9" t="inlineStr">
        <is>
          <t>BOTS-2</t>
        </is>
      </c>
      <c r="D8" s="9" t="inlineStr">
        <is>
          <t>SPL BOTS-2</t>
        </is>
      </c>
      <c r="E8" s="9" t="inlineStr">
        <is>
          <t>S</t>
        </is>
      </c>
      <c r="F8" s="9" t="inlineStr">
        <is>
          <t>ACQUISITION 1 J2</t>
        </is>
      </c>
      <c r="G8" s="9" t="inlineStr">
        <is>
          <t>8</t>
        </is>
      </c>
      <c r="H8" s="9" t="inlineStr">
        <is>
          <t>VT</t>
        </is>
      </c>
      <c r="I8" s="10" t="n"/>
      <c r="J8" s="11">
        <f>IF(I8="","",IFERROR(INDEX(Lists!$F$3:$F$17,MATCH(I8,Lists!$E$3:$E$17,0)),"?"))</f>
        <v/>
      </c>
      <c r="K8" s="9" t="inlineStr">
        <is>
          <t>N</t>
        </is>
      </c>
      <c r="L8" s="9" t="n"/>
      <c r="M8" s="10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9" t="n"/>
      <c r="Q8" s="9" t="n"/>
      <c r="R8" s="10" t="n"/>
      <c r="S8" s="9" t="inlineStr">
        <is>
          <t>Measure point BOTS</t>
        </is>
      </c>
      <c r="T8" s="9" t="inlineStr">
        <is>
          <t>1 ponta (folha ShutDown Circuit)</t>
        </is>
      </c>
      <c r="U8" s="9" t="n"/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9" t="inlineStr">
        <is>
          <t>W-TEST-CAR-008</t>
        </is>
      </c>
      <c r="B9" s="9" t="inlineStr">
        <is>
          <t>TEST-CAR</t>
        </is>
      </c>
      <c r="C9" s="9" t="inlineStr">
        <is>
          <t>INERTIA_</t>
        </is>
      </c>
      <c r="D9" s="9" t="inlineStr">
        <is>
          <t>INERTIA</t>
        </is>
      </c>
      <c r="E9" s="9" t="inlineStr">
        <is>
          <t>2</t>
        </is>
      </c>
      <c r="F9" s="9" t="inlineStr">
        <is>
          <t>DATABOX J2</t>
        </is>
      </c>
      <c r="G9" s="9" t="inlineStr">
        <is>
          <t>D</t>
        </is>
      </c>
      <c r="H9" s="9" t="inlineStr">
        <is>
          <t>VT</t>
        </is>
      </c>
      <c r="I9" s="10" t="n"/>
      <c r="J9" s="11">
        <f>IF(I9="","",IFERROR(INDEX(Lists!$F$3:$F$17,MATCH(I9,Lists!$E$3:$E$17,0)),"?"))</f>
        <v/>
      </c>
      <c r="K9" s="9" t="inlineStr">
        <is>
          <t>N</t>
        </is>
      </c>
      <c r="L9" s="9" t="n"/>
      <c r="M9" s="10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10" t="n"/>
      <c r="S9" s="9" t="n"/>
      <c r="T9" s="9" t="inlineStr">
        <is>
          <t>1 ponta (folha ShutDown Circuit)</t>
        </is>
      </c>
      <c r="U9" s="9" t="n"/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9" t="inlineStr">
        <is>
          <t>W-TEST-CAR-009</t>
        </is>
      </c>
      <c r="B10" s="9" t="inlineStr">
        <is>
          <t>TEST-CAR</t>
        </is>
      </c>
      <c r="C10" s="9" t="inlineStr">
        <is>
          <t>RIGHT_</t>
        </is>
      </c>
      <c r="D10" s="9" t="inlineStr">
        <is>
          <t>RIGHT EMERGENCY</t>
        </is>
      </c>
      <c r="E10" s="9" t="inlineStr">
        <is>
          <t>1</t>
        </is>
      </c>
      <c r="F10" s="9" t="inlineStr">
        <is>
          <t>DATABOX J2</t>
        </is>
      </c>
      <c r="G10" s="9" t="inlineStr">
        <is>
          <t>E</t>
        </is>
      </c>
      <c r="H10" s="9" t="inlineStr">
        <is>
          <t>VT</t>
        </is>
      </c>
      <c r="I10" s="10" t="n"/>
      <c r="J10" s="11">
        <f>IF(I10="","",IFERROR(INDEX(Lists!$F$3:$F$17,MATCH(I10,Lists!$E$3:$E$17,0)),"?"))</f>
        <v/>
      </c>
      <c r="K10" s="9" t="inlineStr">
        <is>
          <t>N</t>
        </is>
      </c>
      <c r="L10" s="9" t="n"/>
      <c r="M10" s="10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10" t="n"/>
      <c r="S10" s="9" t="n"/>
      <c r="T10" s="9" t="inlineStr">
        <is>
          <t>1 ponta (folha ShutDown Circuit)</t>
        </is>
      </c>
      <c r="U10" s="9" t="n"/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9" t="inlineStr">
        <is>
          <t>W-TEST-CAR-010</t>
        </is>
      </c>
      <c r="B11" s="9" t="inlineStr">
        <is>
          <t>TEST-CAR</t>
        </is>
      </c>
      <c r="C11" s="9" t="inlineStr">
        <is>
          <t>RIGHT EMERGENCY-2</t>
        </is>
      </c>
      <c r="D11" s="9" t="inlineStr">
        <is>
          <t>RIGHT EMERGENCY</t>
        </is>
      </c>
      <c r="E11" s="9" t="inlineStr">
        <is>
          <t>2</t>
        </is>
      </c>
      <c r="F11" s="9" t="inlineStr">
        <is>
          <t>SPL RIGHT EMERGENCY-2</t>
        </is>
      </c>
      <c r="G11" s="9" t="inlineStr">
        <is>
          <t>S</t>
        </is>
      </c>
      <c r="H11" s="9" t="inlineStr">
        <is>
          <t>VT</t>
        </is>
      </c>
      <c r="I11" s="10" t="n"/>
      <c r="J11" s="11">
        <f>IF(I11="","",IFERROR(INDEX(Lists!$F$3:$F$17,MATCH(I11,Lists!$E$3:$E$17,0)),"?"))</f>
        <v/>
      </c>
      <c r="K11" s="9" t="inlineStr">
        <is>
          <t>N</t>
        </is>
      </c>
      <c r="L11" s="9" t="n"/>
      <c r="M11" s="10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10" t="n"/>
      <c r="S11" s="9" t="inlineStr">
        <is>
          <t>Measure Point</t>
        </is>
      </c>
      <c r="T11" s="9" t="inlineStr">
        <is>
          <t>1 ponta (folha ShutDown Circuit)</t>
        </is>
      </c>
      <c r="U11" s="9" t="n"/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9" t="inlineStr">
        <is>
          <t>W-TEST-CAR-011</t>
        </is>
      </c>
      <c r="B12" s="9" t="inlineStr">
        <is>
          <t>TEST-CAR</t>
        </is>
      </c>
      <c r="C12" s="9" t="inlineStr">
        <is>
          <t>RIGHT EMERGENCY-2</t>
        </is>
      </c>
      <c r="D12" s="9" t="inlineStr">
        <is>
          <t>SPL RIGHT EMERGENCY-2</t>
        </is>
      </c>
      <c r="E12" s="9" t="inlineStr">
        <is>
          <t>S</t>
        </is>
      </c>
      <c r="F12" s="9" t="inlineStr">
        <is>
          <t>LVBOX J2</t>
        </is>
      </c>
      <c r="G12" s="9" t="inlineStr">
        <is>
          <t>K</t>
        </is>
      </c>
      <c r="H12" s="9" t="inlineStr">
        <is>
          <t>VT</t>
        </is>
      </c>
      <c r="I12" s="10" t="n"/>
      <c r="J12" s="11">
        <f>IF(I12="","",IFERROR(INDEX(Lists!$F$3:$F$17,MATCH(I12,Lists!$E$3:$E$17,0)),"?"))</f>
        <v/>
      </c>
      <c r="K12" s="9" t="inlineStr">
        <is>
          <t>N</t>
        </is>
      </c>
      <c r="L12" s="9" t="n"/>
      <c r="M12" s="10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10" t="n"/>
      <c r="S12" s="9" t="inlineStr">
        <is>
          <t>Measure Point</t>
        </is>
      </c>
      <c r="T12" s="9" t="inlineStr">
        <is>
          <t>1 ponta (folha ShutDown Circuit)</t>
        </is>
      </c>
      <c r="U12" s="9" t="n"/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9" t="inlineStr">
        <is>
          <t>W-TEST-CAR-012</t>
        </is>
      </c>
      <c r="B13" s="9" t="inlineStr">
        <is>
          <t>TEST-CAR</t>
        </is>
      </c>
      <c r="C13" s="9" t="inlineStr">
        <is>
          <t>RIGHT EMERGENCY-2</t>
        </is>
      </c>
      <c r="D13" s="9" t="inlineStr">
        <is>
          <t>SPL RIGHT EMERGENCY-2</t>
        </is>
      </c>
      <c r="E13" s="9" t="inlineStr">
        <is>
          <t>S</t>
        </is>
      </c>
      <c r="F13" s="9" t="inlineStr">
        <is>
          <t>SIDE PANEL</t>
        </is>
      </c>
      <c r="G13" s="9" t="inlineStr">
        <is>
          <t>K</t>
        </is>
      </c>
      <c r="H13" s="9" t="inlineStr">
        <is>
          <t>VT</t>
        </is>
      </c>
      <c r="I13" s="10" t="n"/>
      <c r="J13" s="11">
        <f>IF(I13="","",IFERROR(INDEX(Lists!$F$3:$F$17,MATCH(I13,Lists!$E$3:$E$17,0)),"?"))</f>
        <v/>
      </c>
      <c r="K13" s="9" t="inlineStr">
        <is>
          <t>N</t>
        </is>
      </c>
      <c r="L13" s="9" t="n"/>
      <c r="M13" s="10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10" t="n"/>
      <c r="S13" s="9" t="n"/>
      <c r="T13" s="9" t="inlineStr">
        <is>
          <t>1 ponta (folha ShutDown Circuit)</t>
        </is>
      </c>
      <c r="U13" s="9" t="n"/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n"/>
    </row>
    <row r="14">
      <c r="A14" s="9" t="inlineStr">
        <is>
          <t>W-TEST-CAR-013</t>
        </is>
      </c>
      <c r="B14" s="9" t="inlineStr">
        <is>
          <t>TEST-CAR</t>
        </is>
      </c>
      <c r="C14" s="9" t="inlineStr">
        <is>
          <t>LEFT EMERGENCY-1</t>
        </is>
      </c>
      <c r="D14" s="9" t="inlineStr">
        <is>
          <t>LEFT EMERGENCY</t>
        </is>
      </c>
      <c r="E14" s="9" t="inlineStr">
        <is>
          <t>1</t>
        </is>
      </c>
      <c r="F14" s="9" t="inlineStr">
        <is>
          <t>SPL LEFT EMERGENCY-1</t>
        </is>
      </c>
      <c r="G14" s="9" t="inlineStr">
        <is>
          <t>S</t>
        </is>
      </c>
      <c r="H14" s="9" t="inlineStr">
        <is>
          <t>VT</t>
        </is>
      </c>
      <c r="I14" s="10" t="n"/>
      <c r="J14" s="11">
        <f>IF(I14="","",IFERROR(INDEX(Lists!$F$3:$F$17,MATCH(I14,Lists!$E$3:$E$17,0)),"?"))</f>
        <v/>
      </c>
      <c r="K14" s="9" t="inlineStr">
        <is>
          <t>N</t>
        </is>
      </c>
      <c r="L14" s="9" t="n"/>
      <c r="M14" s="10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10" t="n"/>
      <c r="S14" s="9" t="n"/>
      <c r="T14" s="9" t="inlineStr">
        <is>
          <t>1 ponta (folha ShutDown Circuit)</t>
        </is>
      </c>
      <c r="U14" s="9" t="n"/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9" t="inlineStr">
        <is>
          <t>W-TEST-CAR-014</t>
        </is>
      </c>
      <c r="B15" s="9" t="inlineStr">
        <is>
          <t>TEST-CAR</t>
        </is>
      </c>
      <c r="C15" s="9" t="inlineStr">
        <is>
          <t>LEFT EMERGENCY-1</t>
        </is>
      </c>
      <c r="D15" s="9" t="inlineStr">
        <is>
          <t>SPL LEFT EMERGENCY-1</t>
        </is>
      </c>
      <c r="E15" s="9" t="inlineStr">
        <is>
          <t>S</t>
        </is>
      </c>
      <c r="F15" s="9" t="inlineStr">
        <is>
          <t>SIDE PANEL J1</t>
        </is>
      </c>
      <c r="G15" s="9" t="inlineStr">
        <is>
          <t>L</t>
        </is>
      </c>
      <c r="H15" s="9" t="inlineStr">
        <is>
          <t>VT</t>
        </is>
      </c>
      <c r="I15" s="10" t="n"/>
      <c r="J15" s="11">
        <f>IF(I15="","",IFERROR(INDEX(Lists!$F$3:$F$17,MATCH(I15,Lists!$E$3:$E$17,0)),"?"))</f>
        <v/>
      </c>
      <c r="K15" s="9" t="inlineStr">
        <is>
          <t>N</t>
        </is>
      </c>
      <c r="L15" s="9" t="n"/>
      <c r="M15" s="10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10" t="n"/>
      <c r="S15" s="9" t="n"/>
      <c r="T15" s="9" t="inlineStr">
        <is>
          <t>1 ponta (folha ShutDown Circuit)</t>
        </is>
      </c>
      <c r="U15" s="9" t="n"/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9" t="inlineStr">
        <is>
          <t>W-TEST-CAR-015</t>
        </is>
      </c>
      <c r="B16" s="9" t="inlineStr">
        <is>
          <t>TEST-CAR</t>
        </is>
      </c>
      <c r="C16" s="9" t="inlineStr">
        <is>
          <t>LEFT EMERGENCY-1</t>
        </is>
      </c>
      <c r="D16" s="9" t="inlineStr">
        <is>
          <t>SPL LEFT EMERGENCY-1</t>
        </is>
      </c>
      <c r="E16" s="9" t="inlineStr">
        <is>
          <t>S</t>
        </is>
      </c>
      <c r="F16" s="9" t="inlineStr">
        <is>
          <t>LVBOX J2</t>
        </is>
      </c>
      <c r="G16" s="9" t="inlineStr">
        <is>
          <t>H</t>
        </is>
      </c>
      <c r="H16" s="9" t="inlineStr">
        <is>
          <t>VT</t>
        </is>
      </c>
      <c r="I16" s="10" t="n"/>
      <c r="J16" s="11">
        <f>IF(I16="","",IFERROR(INDEX(Lists!$F$3:$F$17,MATCH(I16,Lists!$E$3:$E$17,0)),"?"))</f>
        <v/>
      </c>
      <c r="K16" s="9" t="inlineStr">
        <is>
          <t>N</t>
        </is>
      </c>
      <c r="L16" s="9" t="n"/>
      <c r="M16" s="10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0" t="n"/>
      <c r="S16" s="9" t="inlineStr">
        <is>
          <t>Measure Point</t>
        </is>
      </c>
      <c r="T16" s="9" t="inlineStr">
        <is>
          <t>1 ponta (folha ShutDown Circuit)</t>
        </is>
      </c>
      <c r="U16" s="9" t="n"/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9" t="inlineStr">
        <is>
          <t>W-TEST-CAR-016</t>
        </is>
      </c>
      <c r="B17" s="9" t="inlineStr">
        <is>
          <t>TEST-CAR</t>
        </is>
      </c>
      <c r="C17" s="9" t="inlineStr">
        <is>
          <t>LEFT EMERGENCY-2</t>
        </is>
      </c>
      <c r="D17" s="9" t="inlineStr">
        <is>
          <t>LEFT EMERGENCY</t>
        </is>
      </c>
      <c r="E17" s="9" t="inlineStr">
        <is>
          <t>2</t>
        </is>
      </c>
      <c r="F17" s="9" t="inlineStr">
        <is>
          <t>SPL LEFT EMERGENCY-2</t>
        </is>
      </c>
      <c r="G17" s="9" t="inlineStr">
        <is>
          <t>S</t>
        </is>
      </c>
      <c r="H17" s="9" t="inlineStr">
        <is>
          <t>VT</t>
        </is>
      </c>
      <c r="I17" s="10" t="n"/>
      <c r="J17" s="11">
        <f>IF(I17="","",IFERROR(INDEX(Lists!$F$3:$F$17,MATCH(I17,Lists!$E$3:$E$17,0)),"?"))</f>
        <v/>
      </c>
      <c r="K17" s="9" t="inlineStr">
        <is>
          <t>N</t>
        </is>
      </c>
      <c r="L17" s="9" t="n"/>
      <c r="M17" s="10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0" t="n"/>
      <c r="S17" s="9" t="inlineStr">
        <is>
          <t>Measure Point</t>
        </is>
      </c>
      <c r="T17" s="9" t="inlineStr">
        <is>
          <t>1 ponta (folha ShutDown Circuit)</t>
        </is>
      </c>
      <c r="U17" s="9" t="n"/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9" t="inlineStr">
        <is>
          <t>W-TEST-CAR-017</t>
        </is>
      </c>
      <c r="B18" s="9" t="inlineStr">
        <is>
          <t>TEST-CAR</t>
        </is>
      </c>
      <c r="C18" s="9" t="inlineStr">
        <is>
          <t>LEFT EMERGENCY-2</t>
        </is>
      </c>
      <c r="D18" s="9" t="inlineStr">
        <is>
          <t>SPL LEFT EMERGENCY-2</t>
        </is>
      </c>
      <c r="E18" s="9" t="inlineStr">
        <is>
          <t>S</t>
        </is>
      </c>
      <c r="F18" s="9" t="inlineStr">
        <is>
          <t>LVBOX J2</t>
        </is>
      </c>
      <c r="G18" s="9" t="inlineStr">
        <is>
          <t>L</t>
        </is>
      </c>
      <c r="H18" s="9" t="inlineStr">
        <is>
          <t>VT</t>
        </is>
      </c>
      <c r="I18" s="10" t="n"/>
      <c r="J18" s="11">
        <f>IF(I18="","",IFERROR(INDEX(Lists!$F$3:$F$17,MATCH(I18,Lists!$E$3:$E$17,0)),"?"))</f>
        <v/>
      </c>
      <c r="K18" s="9" t="inlineStr">
        <is>
          <t>N</t>
        </is>
      </c>
      <c r="L18" s="9" t="n"/>
      <c r="M18" s="10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0" t="n"/>
      <c r="S18" s="9" t="inlineStr">
        <is>
          <t>Measure Point</t>
        </is>
      </c>
      <c r="T18" s="9" t="inlineStr">
        <is>
          <t>1 ponta (folha ShutDown Circuit)</t>
        </is>
      </c>
      <c r="U18" s="9" t="n"/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9" t="inlineStr">
        <is>
          <t>W-TEST-CAR-018</t>
        </is>
      </c>
      <c r="B19" s="9" t="inlineStr">
        <is>
          <t>TEST-CAR</t>
        </is>
      </c>
      <c r="C19" s="9" t="inlineStr">
        <is>
          <t>LEFT EMERGENCY-2</t>
        </is>
      </c>
      <c r="D19" s="9" t="inlineStr">
        <is>
          <t>SPL LEFT EMERGENCY-2</t>
        </is>
      </c>
      <c r="E19" s="9" t="inlineStr">
        <is>
          <t>S</t>
        </is>
      </c>
      <c r="F19" s="9" t="inlineStr">
        <is>
          <t>JBOX J1</t>
        </is>
      </c>
      <c r="G19" s="9" t="inlineStr">
        <is>
          <t>P</t>
        </is>
      </c>
      <c r="H19" s="9" t="inlineStr">
        <is>
          <t>VT</t>
        </is>
      </c>
      <c r="I19" s="10" t="n"/>
      <c r="J19" s="11">
        <f>IF(I19="","",IFERROR(INDEX(Lists!$F$3:$F$17,MATCH(I19,Lists!$E$3:$E$17,0)),"?"))</f>
        <v/>
      </c>
      <c r="K19" s="9" t="inlineStr">
        <is>
          <t>N</t>
        </is>
      </c>
      <c r="L19" s="9" t="n"/>
      <c r="M19" s="10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0" t="n"/>
      <c r="S19" s="9" t="n"/>
      <c r="T19" s="9" t="inlineStr">
        <is>
          <t>1 ponta (folha ShutDown Circuit)</t>
        </is>
      </c>
      <c r="U19" s="9" t="n"/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9" t="inlineStr">
        <is>
          <t>W-TEST-CAR-019</t>
        </is>
      </c>
      <c r="B20" s="9" t="inlineStr">
        <is>
          <t>TEST-CAR</t>
        </is>
      </c>
      <c r="C20" s="9" t="inlineStr">
        <is>
          <t>24V_IN</t>
        </is>
      </c>
      <c r="D20" s="9" t="inlineStr">
        <is>
          <t>DATABOX J1</t>
        </is>
      </c>
      <c r="E20" s="9" t="inlineStr">
        <is>
          <t>A</t>
        </is>
      </c>
      <c r="F20" s="9" t="inlineStr">
        <is>
          <t>PDM J1</t>
        </is>
      </c>
      <c r="G20" s="9" t="inlineStr">
        <is>
          <t>7</t>
        </is>
      </c>
      <c r="H20" s="9" t="inlineStr">
        <is>
          <t>RD</t>
        </is>
      </c>
      <c r="I20" s="10" t="n"/>
      <c r="J20" s="11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24V</t>
        </is>
      </c>
      <c r="M20" s="10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10" t="n"/>
      <c r="S20" s="9" t="inlineStr">
        <is>
          <t>Power Supply from PDM</t>
        </is>
      </c>
      <c r="T20" s="9" t="inlineStr">
        <is>
          <t>1 ponta (folha DataBox)</t>
        </is>
      </c>
      <c r="U20" s="9" t="n"/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9" t="inlineStr">
        <is>
          <t>W-TEST-CAR-020</t>
        </is>
      </c>
      <c r="B21" s="9" t="inlineStr">
        <is>
          <t>TEST-CAR</t>
        </is>
      </c>
      <c r="C21" s="9" t="inlineStr">
        <is>
          <t>CAN_PWT_L</t>
        </is>
      </c>
      <c r="D21" s="9" t="inlineStr">
        <is>
          <t>DATABOX J1</t>
        </is>
      </c>
      <c r="E21" s="9" t="inlineStr">
        <is>
          <t>C</t>
        </is>
      </c>
      <c r="F21" s="9" t="inlineStr">
        <is>
          <t>ACQUISITION 1 J1</t>
        </is>
      </c>
      <c r="G21" s="9" t="inlineStr">
        <is>
          <t>4</t>
        </is>
      </c>
      <c r="H21" s="9" t="inlineStr">
        <is>
          <t>RD</t>
        </is>
      </c>
      <c r="I21" s="10" t="n"/>
      <c r="J21" s="11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5V</t>
        </is>
      </c>
      <c r="M21" s="10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0" t="n"/>
      <c r="S21" s="9" t="inlineStr">
        <is>
          <t>PowerTrain CAN Bus Low</t>
        </is>
      </c>
      <c r="T21" s="9" t="inlineStr">
        <is>
          <t>1 ponta (folha DataBox)</t>
        </is>
      </c>
      <c r="U21" s="9" t="n"/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9" t="inlineStr">
        <is>
          <t>W-TEST-CAR-021</t>
        </is>
      </c>
      <c r="B22" s="9" t="inlineStr">
        <is>
          <t>TEST-CAR</t>
        </is>
      </c>
      <c r="C22" s="9" t="inlineStr">
        <is>
          <t>CAN_PWT_H</t>
        </is>
      </c>
      <c r="D22" s="9" t="inlineStr">
        <is>
          <t>DATABOX J1</t>
        </is>
      </c>
      <c r="E22" s="9" t="inlineStr">
        <is>
          <t>D</t>
        </is>
      </c>
      <c r="F22" s="9" t="inlineStr">
        <is>
          <t>ACQUISITION 1 J1</t>
        </is>
      </c>
      <c r="G22" s="9" t="inlineStr">
        <is>
          <t>6</t>
        </is>
      </c>
      <c r="H22" s="9" t="inlineStr">
        <is>
          <t>BU</t>
        </is>
      </c>
      <c r="I22" s="10" t="n"/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5V</t>
        </is>
      </c>
      <c r="M22" s="10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0" t="n"/>
      <c r="S22" s="9" t="inlineStr">
        <is>
          <t>PowerTrain CAN Bus High</t>
        </is>
      </c>
      <c r="T22" s="9" t="inlineStr">
        <is>
          <t>1 ponta (folha DataBox)</t>
        </is>
      </c>
      <c r="U22" s="9" t="n"/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9" t="inlineStr">
        <is>
          <t>W-TEST-CAR-022</t>
        </is>
      </c>
      <c r="B23" s="9" t="inlineStr">
        <is>
          <t>TEST-CAR</t>
        </is>
      </c>
      <c r="C23" s="9" t="inlineStr">
        <is>
          <t>CAN_AUT_L</t>
        </is>
      </c>
      <c r="D23" s="9" t="inlineStr">
        <is>
          <t>DATABOX J1</t>
        </is>
      </c>
      <c r="E23" s="9" t="inlineStr">
        <is>
          <t>E</t>
        </is>
      </c>
      <c r="F23" s="9" t="inlineStr">
        <is>
          <t>ACQUISITION 1 J1</t>
        </is>
      </c>
      <c r="G23" s="9" t="inlineStr">
        <is>
          <t>3</t>
        </is>
      </c>
      <c r="H23" s="9" t="inlineStr">
        <is>
          <t>BU/WH</t>
        </is>
      </c>
      <c r="I23" s="10" t="n"/>
      <c r="J23" s="11">
        <f>IF(I23="","",IFERROR(INDEX(Lists!$F$3:$F$17,MATCH(I23,Lists!$E$3:$E$17,0)),"?"))</f>
        <v/>
      </c>
      <c r="K23" s="9" t="inlineStr">
        <is>
          <t>N</t>
        </is>
      </c>
      <c r="L23" s="9" t="n"/>
      <c r="M23" s="10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0" t="n"/>
      <c r="S23" s="9" t="inlineStr">
        <is>
          <t>Autonomous CAN Bus Low</t>
        </is>
      </c>
      <c r="T23" s="9" t="inlineStr">
        <is>
          <t>1 ponta (folha DataBox)</t>
        </is>
      </c>
      <c r="U23" s="9" t="n"/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9" t="inlineStr">
        <is>
          <t>W-TEST-CAR-023</t>
        </is>
      </c>
      <c r="B24" s="9" t="inlineStr">
        <is>
          <t>TEST-CAR</t>
        </is>
      </c>
      <c r="C24" s="9" t="inlineStr">
        <is>
          <t>CAN_AUT_H</t>
        </is>
      </c>
      <c r="D24" s="9" t="inlineStr">
        <is>
          <t>DATABOX J1</t>
        </is>
      </c>
      <c r="E24" s="9" t="inlineStr">
        <is>
          <t>F</t>
        </is>
      </c>
      <c r="F24" s="9" t="inlineStr">
        <is>
          <t>ACQUISITION 1 J1</t>
        </is>
      </c>
      <c r="G24" s="9" t="inlineStr">
        <is>
          <t>5</t>
        </is>
      </c>
      <c r="H24" s="9" t="inlineStr">
        <is>
          <t>BU</t>
        </is>
      </c>
      <c r="I24" s="10" t="n"/>
      <c r="J24" s="11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5V</t>
        </is>
      </c>
      <c r="M24" s="10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0" t="n"/>
      <c r="S24" s="9" t="inlineStr">
        <is>
          <t>Autonomous CAN Bus High</t>
        </is>
      </c>
      <c r="T24" s="9" t="inlineStr">
        <is>
          <t>1 ponta (folha DataBox)</t>
        </is>
      </c>
      <c r="U24" s="9" t="n"/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9" t="inlineStr">
        <is>
          <t>W-TEST-CAR-024</t>
        </is>
      </c>
      <c r="B25" s="9" t="inlineStr">
        <is>
          <t>TEST-CAR</t>
        </is>
      </c>
      <c r="C25" s="9" t="inlineStr">
        <is>
          <t>CAN_PWT_L</t>
        </is>
      </c>
      <c r="D25" s="9" t="inlineStr">
        <is>
          <t>DATABOX J1</t>
        </is>
      </c>
      <c r="E25" s="9" t="inlineStr">
        <is>
          <t>G</t>
        </is>
      </c>
      <c r="F25" s="9" t="inlineStr">
        <is>
          <t>RASPBOX J1</t>
        </is>
      </c>
      <c r="G25" s="9" t="inlineStr">
        <is>
          <t>C</t>
        </is>
      </c>
      <c r="H25" s="9" t="inlineStr">
        <is>
          <t>RD</t>
        </is>
      </c>
      <c r="I25" s="10" t="n"/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5V</t>
        </is>
      </c>
      <c r="M25" s="10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10" t="n"/>
      <c r="S25" s="9" t="inlineStr">
        <is>
          <t>PowerTrain CAN Bus Low</t>
        </is>
      </c>
      <c r="T25" s="9" t="inlineStr">
        <is>
          <t>2 pontas</t>
        </is>
      </c>
      <c r="U25" s="9" t="n"/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9" t="inlineStr">
        <is>
          <t>W-TEST-CAR-025</t>
        </is>
      </c>
      <c r="B26" s="9" t="inlineStr">
        <is>
          <t>TEST-CAR</t>
        </is>
      </c>
      <c r="C26" s="9" t="inlineStr">
        <is>
          <t>CAN_PWT_H</t>
        </is>
      </c>
      <c r="D26" s="9" t="inlineStr">
        <is>
          <t>DATABOX J1</t>
        </is>
      </c>
      <c r="E26" s="9" t="inlineStr">
        <is>
          <t>H</t>
        </is>
      </c>
      <c r="F26" s="9" t="inlineStr">
        <is>
          <t>RASPBOX J1</t>
        </is>
      </c>
      <c r="G26" s="9" t="inlineStr">
        <is>
          <t>D</t>
        </is>
      </c>
      <c r="H26" s="9" t="inlineStr">
        <is>
          <t>BU</t>
        </is>
      </c>
      <c r="I26" s="10" t="n"/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5V</t>
        </is>
      </c>
      <c r="M26" s="10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10" t="n"/>
      <c r="S26" s="9" t="inlineStr">
        <is>
          <t>PowerTrain CAN Bus High</t>
        </is>
      </c>
      <c r="T26" s="9" t="inlineStr">
        <is>
          <t>2 pontas</t>
        </is>
      </c>
      <c r="U26" s="9" t="n"/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9" t="inlineStr">
        <is>
          <t>W-TEST-CAR-026</t>
        </is>
      </c>
      <c r="B27" s="9" t="inlineStr">
        <is>
          <t>TEST-CAR</t>
        </is>
      </c>
      <c r="C27" s="9" t="inlineStr">
        <is>
          <t>READY_TO_DRIVE_SIGNAL</t>
        </is>
      </c>
      <c r="D27" s="9" t="inlineStr">
        <is>
          <t>R2D J1</t>
        </is>
      </c>
      <c r="E27" s="9" t="inlineStr">
        <is>
          <t>2</t>
        </is>
      </c>
      <c r="F27" s="9" t="inlineStr">
        <is>
          <t>DATABOX J1</t>
        </is>
      </c>
      <c r="G27" s="9" t="inlineStr">
        <is>
          <t>W</t>
        </is>
      </c>
      <c r="H27" s="9" t="inlineStr">
        <is>
          <t>WH</t>
        </is>
      </c>
      <c r="I27" s="10" t="n"/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24V</t>
        </is>
      </c>
      <c r="M27" s="10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10" t="n"/>
      <c r="S27" s="9" t="inlineStr">
        <is>
          <t>Ready to Drive Button Signal</t>
        </is>
      </c>
      <c r="T27" s="9" t="inlineStr">
        <is>
          <t>2 pontas</t>
        </is>
      </c>
      <c r="U27" s="9" t="n"/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  <row r="28">
      <c r="A28" s="9" t="inlineStr">
        <is>
          <t>W-TEST-CAR-027</t>
        </is>
      </c>
      <c r="B28" s="9" t="inlineStr">
        <is>
          <t>TEST-CAR</t>
        </is>
      </c>
      <c r="C28" s="9" t="inlineStr">
        <is>
          <t>INERTIA</t>
        </is>
      </c>
      <c r="D28" s="9" t="inlineStr">
        <is>
          <t>DATABOX J1</t>
        </is>
      </c>
      <c r="E28" s="9" t="inlineStr">
        <is>
          <t>X</t>
        </is>
      </c>
      <c r="F28" s="9" t="inlineStr">
        <is>
          <t>EMERGENCY J1</t>
        </is>
      </c>
      <c r="G28" s="9" t="inlineStr">
        <is>
          <t>1</t>
        </is>
      </c>
      <c r="H28" s="9" t="inlineStr">
        <is>
          <t>VT</t>
        </is>
      </c>
      <c r="I28" s="10" t="n"/>
      <c r="J28" s="11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24V</t>
        </is>
      </c>
      <c r="M28" s="10" t="n"/>
      <c r="N28" s="11">
        <f>IF(D28="","",IFERROR(INDEX(Connectors!$J$2:$J$1000,MATCH(D28,Connectors!$A$2:$A$1000,0))&amp;"",""))</f>
        <v/>
      </c>
      <c r="O28" s="11">
        <f>IF(F28="","",IFERROR(INDEX(Connectors!$J$2:$J$1000,MATCH(F28,Connectors!$A$2:$A$1000,0))&amp;"",""))</f>
        <v/>
      </c>
      <c r="P28" s="9" t="n"/>
      <c r="Q28" s="9" t="n"/>
      <c r="R28" s="10" t="n"/>
      <c r="S28" s="9" t="inlineStr">
        <is>
          <t>Inertia Shutdown Circuit Measure Point</t>
        </is>
      </c>
      <c r="T28" s="9" t="inlineStr">
        <is>
          <t>2 pontas</t>
        </is>
      </c>
      <c r="U28" s="9" t="n"/>
      <c r="V28" s="11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1">
        <f>IF(D28="","",D28&amp;":"&amp;E28&amp;IF(EXACT(E28,UPPER(E28)),"","|lc"))</f>
        <v/>
      </c>
      <c r="X28" s="11">
        <f>IF(F28="","",F28&amp;":"&amp;G28&amp;IF(EXACT(G28,UPPER(G28)),"","|lc"))</f>
        <v/>
      </c>
      <c r="Y28" s="9" t="n"/>
      <c r="Z28" s="9" t="n"/>
    </row>
    <row r="29">
      <c r="A29" s="9" t="inlineStr">
        <is>
          <t>W-TEST-CAR-028</t>
        </is>
      </c>
      <c r="B29" s="9" t="inlineStr">
        <is>
          <t>TEST-CAR</t>
        </is>
      </c>
      <c r="C29" s="9" t="inlineStr">
        <is>
          <t>IGNITION_SIGNAL</t>
        </is>
      </c>
      <c r="D29" s="9" t="inlineStr">
        <is>
          <t>IGNITION J1</t>
        </is>
      </c>
      <c r="E29" s="9" t="inlineStr">
        <is>
          <t>2</t>
        </is>
      </c>
      <c r="F29" s="9" t="inlineStr">
        <is>
          <t>DATABOX J1</t>
        </is>
      </c>
      <c r="G29" s="9" t="inlineStr">
        <is>
          <t>Y</t>
        </is>
      </c>
      <c r="H29" s="9" t="inlineStr">
        <is>
          <t>WH</t>
        </is>
      </c>
      <c r="I29" s="10" t="n"/>
      <c r="J29" s="11">
        <f>IF(I29="","",IFERROR(INDEX(Lists!$F$3:$F$17,MATCH(I29,Lists!$E$3:$E$17,0)),"?"))</f>
        <v/>
      </c>
      <c r="K29" s="9" t="inlineStr">
        <is>
          <t>N</t>
        </is>
      </c>
      <c r="L29" s="9" t="inlineStr">
        <is>
          <t>24V</t>
        </is>
      </c>
      <c r="M29" s="10" t="n"/>
      <c r="N29" s="11">
        <f>IF(D29="","",IFERROR(INDEX(Connectors!$J$2:$J$1000,MATCH(D29,Connectors!$A$2:$A$1000,0))&amp;"",""))</f>
        <v/>
      </c>
      <c r="O29" s="11">
        <f>IF(F29="","",IFERROR(INDEX(Connectors!$J$2:$J$1000,MATCH(F29,Connectors!$A$2:$A$1000,0))&amp;"",""))</f>
        <v/>
      </c>
      <c r="P29" s="9" t="n"/>
      <c r="Q29" s="9" t="n"/>
      <c r="R29" s="10" t="n"/>
      <c r="S29" s="9" t="inlineStr">
        <is>
          <t>Ignition Button Signal</t>
        </is>
      </c>
      <c r="T29" s="9" t="inlineStr">
        <is>
          <t>2 pontas</t>
        </is>
      </c>
      <c r="U29" s="9" t="n"/>
      <c r="V29" s="11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1">
        <f>IF(D29="","",D29&amp;":"&amp;E29&amp;IF(EXACT(E29,UPPER(E29)),"","|lc"))</f>
        <v/>
      </c>
      <c r="X29" s="11">
        <f>IF(F29="","",F29&amp;":"&amp;G29&amp;IF(EXACT(G29,UPPER(G29)),"","|lc"))</f>
        <v/>
      </c>
      <c r="Y29" s="9" t="n"/>
      <c r="Z29" s="9" t="n"/>
    </row>
    <row r="30">
      <c r="A30" s="9" t="inlineStr">
        <is>
          <t>W-TEST-CAR-029</t>
        </is>
      </c>
      <c r="B30" s="9" t="inlineStr">
        <is>
          <t>TEST-CAR</t>
        </is>
      </c>
      <c r="C30" s="9" t="inlineStr">
        <is>
          <t>SHUTDOWN_OUT</t>
        </is>
      </c>
      <c r="D30" s="9" t="inlineStr">
        <is>
          <t>EMERGENCY J1</t>
        </is>
      </c>
      <c r="E30" s="9" t="inlineStr">
        <is>
          <t>2</t>
        </is>
      </c>
      <c r="F30" s="9" t="inlineStr">
        <is>
          <t>DATABOX J1</t>
        </is>
      </c>
      <c r="G30" s="9" t="inlineStr">
        <is>
          <t>Z</t>
        </is>
      </c>
      <c r="H30" s="9" t="inlineStr">
        <is>
          <t>VT</t>
        </is>
      </c>
      <c r="I30" s="10" t="n"/>
      <c r="J30" s="11">
        <f>IF(I30="","",IFERROR(INDEX(Lists!$F$3:$F$17,MATCH(I30,Lists!$E$3:$E$17,0)),"?"))</f>
        <v/>
      </c>
      <c r="K30" s="9" t="inlineStr">
        <is>
          <t>N</t>
        </is>
      </c>
      <c r="L30" s="9" t="inlineStr">
        <is>
          <t>24V</t>
        </is>
      </c>
      <c r="M30" s="10" t="n"/>
      <c r="N30" s="11">
        <f>IF(D30="","",IFERROR(INDEX(Connectors!$J$2:$J$1000,MATCH(D30,Connectors!$A$2:$A$1000,0))&amp;"",""))</f>
        <v/>
      </c>
      <c r="O30" s="11">
        <f>IF(F30="","",IFERROR(INDEX(Connectors!$J$2:$J$1000,MATCH(F30,Connectors!$A$2:$A$1000,0))&amp;"",""))</f>
        <v/>
      </c>
      <c r="P30" s="9" t="n"/>
      <c r="Q30" s="9" t="n"/>
      <c r="R30" s="10" t="n"/>
      <c r="S30" s="9" t="inlineStr">
        <is>
          <t>Emergency Button Shutdown Circuit Measure Point</t>
        </is>
      </c>
      <c r="T30" s="9" t="inlineStr">
        <is>
          <t>2 pontas</t>
        </is>
      </c>
      <c r="U30" s="9" t="n"/>
      <c r="V30" s="11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1">
        <f>IF(D30="","",D30&amp;":"&amp;E30&amp;IF(EXACT(E30,UPPER(E30)),"","|lc"))</f>
        <v/>
      </c>
      <c r="X30" s="11">
        <f>IF(F30="","",F30&amp;":"&amp;G30&amp;IF(EXACT(G30,UPPER(G30)),"","|lc"))</f>
        <v/>
      </c>
      <c r="Y30" s="9" t="n"/>
      <c r="Z30" s="9" t="n"/>
    </row>
    <row r="31">
      <c r="A31" s="9" t="inlineStr">
        <is>
          <t>W-TEST-CAR-030</t>
        </is>
      </c>
      <c r="B31" s="9" t="inlineStr">
        <is>
          <t>TEST-CAR</t>
        </is>
      </c>
      <c r="C31" s="9" t="inlineStr">
        <is>
          <t>IGNITION_SUPPLY</t>
        </is>
      </c>
      <c r="D31" s="9" t="inlineStr">
        <is>
          <t>DATABOX J1</t>
        </is>
      </c>
      <c r="E31" s="9" t="inlineStr">
        <is>
          <t>a</t>
        </is>
      </c>
      <c r="F31" s="9" t="inlineStr">
        <is>
          <t>IGNITION J1</t>
        </is>
      </c>
      <c r="G31" s="9" t="inlineStr">
        <is>
          <t>1</t>
        </is>
      </c>
      <c r="H31" s="9" t="inlineStr">
        <is>
          <t>RD</t>
        </is>
      </c>
      <c r="I31" s="10" t="n"/>
      <c r="J31" s="11">
        <f>IF(I31="","",IFERROR(INDEX(Lists!$F$3:$F$17,MATCH(I31,Lists!$E$3:$E$17,0)),"?"))</f>
        <v/>
      </c>
      <c r="K31" s="9" t="inlineStr">
        <is>
          <t>N</t>
        </is>
      </c>
      <c r="L31" s="9" t="inlineStr">
        <is>
          <t>24V</t>
        </is>
      </c>
      <c r="M31" s="10" t="n"/>
      <c r="N31" s="11">
        <f>IF(D31="","",IFERROR(INDEX(Connectors!$J$2:$J$1000,MATCH(D31,Connectors!$A$2:$A$1000,0))&amp;"",""))</f>
        <v/>
      </c>
      <c r="O31" s="11">
        <f>IF(F31="","",IFERROR(INDEX(Connectors!$J$2:$J$1000,MATCH(F31,Connectors!$A$2:$A$1000,0))&amp;"",""))</f>
        <v/>
      </c>
      <c r="P31" s="9" t="n"/>
      <c r="Q31" s="9" t="n"/>
      <c r="R31" s="10" t="n"/>
      <c r="S31" s="9" t="inlineStr">
        <is>
          <t>Ignition Button Supply</t>
        </is>
      </c>
      <c r="T31" s="9" t="inlineStr">
        <is>
          <t>2 pontas</t>
        </is>
      </c>
      <c r="U31" s="9" t="n"/>
      <c r="V31" s="11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1">
        <f>IF(D31="","",D31&amp;":"&amp;E31&amp;IF(EXACT(E31,UPPER(E31)),"","|lc"))</f>
        <v/>
      </c>
      <c r="X31" s="11">
        <f>IF(F31="","",F31&amp;":"&amp;G31&amp;IF(EXACT(G31,UPPER(G31)),"","|lc"))</f>
        <v/>
      </c>
      <c r="Y31" s="9" t="n"/>
      <c r="Z31" s="9" t="n"/>
    </row>
    <row r="32">
      <c r="A32" s="9" t="inlineStr">
        <is>
          <t>W-TEST-CAR-031</t>
        </is>
      </c>
      <c r="B32" s="9" t="inlineStr">
        <is>
          <t>TEST-CAR</t>
        </is>
      </c>
      <c r="C32" s="9" t="inlineStr">
        <is>
          <t>R2D-SUPPLY</t>
        </is>
      </c>
      <c r="D32" s="9" t="inlineStr">
        <is>
          <t>DATABOX J1</t>
        </is>
      </c>
      <c r="E32" s="9" t="inlineStr">
        <is>
          <t>b</t>
        </is>
      </c>
      <c r="F32" s="9" t="inlineStr">
        <is>
          <t>R2D J1</t>
        </is>
      </c>
      <c r="G32" s="9" t="inlineStr">
        <is>
          <t>1</t>
        </is>
      </c>
      <c r="H32" s="9" t="inlineStr">
        <is>
          <t>RD</t>
        </is>
      </c>
      <c r="I32" s="10" t="n"/>
      <c r="J32" s="11">
        <f>IF(I32="","",IFERROR(INDEX(Lists!$F$3:$F$17,MATCH(I32,Lists!$E$3:$E$17,0)),"?"))</f>
        <v/>
      </c>
      <c r="K32" s="9" t="inlineStr">
        <is>
          <t>N</t>
        </is>
      </c>
      <c r="L32" s="9" t="inlineStr">
        <is>
          <t>24V</t>
        </is>
      </c>
      <c r="M32" s="10" t="n"/>
      <c r="N32" s="11">
        <f>IF(D32="","",IFERROR(INDEX(Connectors!$J$2:$J$1000,MATCH(D32,Connectors!$A$2:$A$1000,0))&amp;"",""))</f>
        <v/>
      </c>
      <c r="O32" s="11">
        <f>IF(F32="","",IFERROR(INDEX(Connectors!$J$2:$J$1000,MATCH(F32,Connectors!$A$2:$A$1000,0))&amp;"",""))</f>
        <v/>
      </c>
      <c r="P32" s="9" t="n"/>
      <c r="Q32" s="9" t="n"/>
      <c r="R32" s="10" t="n"/>
      <c r="S32" s="9" t="inlineStr">
        <is>
          <t>Ready to Drive Button Supply</t>
        </is>
      </c>
      <c r="T32" s="9" t="inlineStr">
        <is>
          <t>2 pontas</t>
        </is>
      </c>
      <c r="U32" s="9" t="n"/>
      <c r="V32" s="11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1">
        <f>IF(D32="","",D32&amp;":"&amp;E32&amp;IF(EXACT(E32,UPPER(E32)),"","|lc"))</f>
        <v/>
      </c>
      <c r="X32" s="11">
        <f>IF(F32="","",F32&amp;":"&amp;G32&amp;IF(EXACT(G32,UPPER(G32)),"","|lc"))</f>
        <v/>
      </c>
      <c r="Y32" s="9" t="n"/>
      <c r="Z32" s="9" t="n"/>
    </row>
    <row r="33">
      <c r="A33" s="9" t="inlineStr">
        <is>
          <t>W-TEST-CAR-032</t>
        </is>
      </c>
      <c r="B33" s="9" t="inlineStr">
        <is>
          <t>TEST-CAR</t>
        </is>
      </c>
      <c r="C33" s="9" t="inlineStr">
        <is>
          <t>R2D_LED_SUPPLY</t>
        </is>
      </c>
      <c r="D33" s="9" t="inlineStr">
        <is>
          <t>DATABOX J1</t>
        </is>
      </c>
      <c r="E33" s="9" t="inlineStr">
        <is>
          <t>c</t>
        </is>
      </c>
      <c r="F33" s="9" t="inlineStr">
        <is>
          <t>R2D J1</t>
        </is>
      </c>
      <c r="G33" s="9" t="inlineStr">
        <is>
          <t>3</t>
        </is>
      </c>
      <c r="H33" s="9" t="inlineStr">
        <is>
          <t>RD</t>
        </is>
      </c>
      <c r="I33" s="10" t="n"/>
      <c r="J33" s="11">
        <f>IF(I33="","",IFERROR(INDEX(Lists!$F$3:$F$17,MATCH(I33,Lists!$E$3:$E$17,0)),"?"))</f>
        <v/>
      </c>
      <c r="K33" s="9" t="inlineStr">
        <is>
          <t>N</t>
        </is>
      </c>
      <c r="L33" s="9" t="inlineStr">
        <is>
          <t>24V</t>
        </is>
      </c>
      <c r="M33" s="10" t="n"/>
      <c r="N33" s="11">
        <f>IF(D33="","",IFERROR(INDEX(Connectors!$J$2:$J$1000,MATCH(D33,Connectors!$A$2:$A$1000,0))&amp;"",""))</f>
        <v/>
      </c>
      <c r="O33" s="11">
        <f>IF(F33="","",IFERROR(INDEX(Connectors!$J$2:$J$1000,MATCH(F33,Connectors!$A$2:$A$1000,0))&amp;"",""))</f>
        <v/>
      </c>
      <c r="P33" s="9" t="n"/>
      <c r="Q33" s="9" t="n"/>
      <c r="R33" s="10" t="n"/>
      <c r="S33" s="9" t="inlineStr">
        <is>
          <t>R2D LED Power</t>
        </is>
      </c>
      <c r="T33" s="9" t="inlineStr">
        <is>
          <t>2 pontas</t>
        </is>
      </c>
      <c r="U33" s="9" t="n"/>
      <c r="V33" s="11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1">
        <f>IF(D33="","",D33&amp;":"&amp;E33&amp;IF(EXACT(E33,UPPER(E33)),"","|lc"))</f>
        <v/>
      </c>
      <c r="X33" s="11">
        <f>IF(F33="","",F33&amp;":"&amp;G33&amp;IF(EXACT(G33,UPPER(G33)),"","|lc"))</f>
        <v/>
      </c>
      <c r="Y33" s="9" t="n"/>
      <c r="Z33" s="9" t="n"/>
    </row>
    <row r="34">
      <c r="A34" s="9" t="inlineStr">
        <is>
          <t>W-TEST-CAR-033</t>
        </is>
      </c>
      <c r="B34" s="9" t="inlineStr">
        <is>
          <t>TEST-CAR</t>
        </is>
      </c>
      <c r="C34" s="9" t="inlineStr">
        <is>
          <t>TS_ON_LED_SIGNAL</t>
        </is>
      </c>
      <c r="D34" s="9" t="inlineStr">
        <is>
          <t>DATABOX J1</t>
        </is>
      </c>
      <c r="E34" s="9" t="inlineStr">
        <is>
          <t>d</t>
        </is>
      </c>
      <c r="F34" s="9" t="inlineStr">
        <is>
          <t>TS ON LED J1</t>
        </is>
      </c>
      <c r="G34" s="9" t="inlineStr">
        <is>
          <t>1</t>
        </is>
      </c>
      <c r="H34" s="9" t="inlineStr">
        <is>
          <t>WH</t>
        </is>
      </c>
      <c r="I34" s="10" t="n"/>
      <c r="J34" s="11">
        <f>IF(I34="","",IFERROR(INDEX(Lists!$F$3:$F$17,MATCH(I34,Lists!$E$3:$E$17,0)),"?"))</f>
        <v/>
      </c>
      <c r="K34" s="9" t="inlineStr">
        <is>
          <t>N</t>
        </is>
      </c>
      <c r="L34" s="9" t="inlineStr">
        <is>
          <t>3.3V</t>
        </is>
      </c>
      <c r="M34" s="10" t="n"/>
      <c r="N34" s="11">
        <f>IF(D34="","",IFERROR(INDEX(Connectors!$J$2:$J$1000,MATCH(D34,Connectors!$A$2:$A$1000,0))&amp;"",""))</f>
        <v/>
      </c>
      <c r="O34" s="11">
        <f>IF(F34="","",IFERROR(INDEX(Connectors!$J$2:$J$1000,MATCH(F34,Connectors!$A$2:$A$1000,0))&amp;"",""))</f>
        <v/>
      </c>
      <c r="P34" s="9" t="n"/>
      <c r="Q34" s="9" t="n"/>
      <c r="R34" s="10" t="n"/>
      <c r="S34" s="9" t="inlineStr">
        <is>
          <t>TS ON Led Signal</t>
        </is>
      </c>
      <c r="T34" s="9" t="inlineStr">
        <is>
          <t>2 pontas</t>
        </is>
      </c>
      <c r="U34" s="9" t="n"/>
      <c r="V34" s="11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1">
        <f>IF(D34="","",D34&amp;":"&amp;E34&amp;IF(EXACT(E34,UPPER(E34)),"","|lc"))</f>
        <v/>
      </c>
      <c r="X34" s="11">
        <f>IF(F34="","",F34&amp;":"&amp;G34&amp;IF(EXACT(G34,UPPER(G34)),"","|lc"))</f>
        <v/>
      </c>
      <c r="Y34" s="9" t="n"/>
      <c r="Z34" s="9" t="n"/>
    </row>
    <row r="35">
      <c r="A35" s="9" t="inlineStr">
        <is>
          <t>W-TEST-CAR-034</t>
        </is>
      </c>
      <c r="B35" s="9" t="inlineStr">
        <is>
          <t>TEST-CAR</t>
        </is>
      </c>
      <c r="C35" s="9" t="inlineStr">
        <is>
          <t>LEDS_GND</t>
        </is>
      </c>
      <c r="D35" s="9" t="inlineStr">
        <is>
          <t>DATABOX J1</t>
        </is>
      </c>
      <c r="E35" s="9" t="inlineStr">
        <is>
          <t>e</t>
        </is>
      </c>
      <c r="F35" s="9" t="inlineStr">
        <is>
          <t>TS ON LED J1</t>
        </is>
      </c>
      <c r="G35" s="9" t="inlineStr">
        <is>
          <t>Aos LEDS</t>
        </is>
      </c>
      <c r="H35" s="9" t="inlineStr">
        <is>
          <t>BK</t>
        </is>
      </c>
      <c r="I35" s="10" t="n"/>
      <c r="J35" s="11">
        <f>IF(I35="","",IFERROR(INDEX(Lists!$F$3:$F$17,MATCH(I35,Lists!$E$3:$E$17,0)),"?"))</f>
        <v/>
      </c>
      <c r="K35" s="9" t="inlineStr">
        <is>
          <t>N</t>
        </is>
      </c>
      <c r="L35" s="9" t="inlineStr">
        <is>
          <t>0V</t>
        </is>
      </c>
      <c r="M35" s="10" t="n"/>
      <c r="N35" s="11">
        <f>IF(D35="","",IFERROR(INDEX(Connectors!$J$2:$J$1000,MATCH(D35,Connectors!$A$2:$A$1000,0))&amp;"",""))</f>
        <v/>
      </c>
      <c r="O35" s="11">
        <f>IF(F35="","",IFERROR(INDEX(Connectors!$J$2:$J$1000,MATCH(F35,Connectors!$A$2:$A$1000,0))&amp;"",""))</f>
        <v/>
      </c>
      <c r="P35" s="9" t="n"/>
      <c r="Q35" s="9" t="n"/>
      <c r="R35" s="10" t="n"/>
      <c r="S35" s="9" t="inlineStr">
        <is>
          <t>GND of all LEDS (axanatar esta merda para ir todo ao gnd)</t>
        </is>
      </c>
      <c r="T35" s="9" t="inlineStr">
        <is>
          <t>1 ponta (folha DataBox)</t>
        </is>
      </c>
      <c r="U35" s="9" t="n"/>
      <c r="V35" s="11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1">
        <f>IF(D35="","",D35&amp;":"&amp;E35&amp;IF(EXACT(E35,UPPER(E35)),"","|lc"))</f>
        <v/>
      </c>
      <c r="X35" s="11">
        <f>IF(F35="","",F35&amp;":"&amp;G35&amp;IF(EXACT(G35,UPPER(G35)),"","|lc"))</f>
        <v/>
      </c>
      <c r="Y35" s="9" t="n"/>
      <c r="Z35" s="9" t="n"/>
    </row>
    <row r="36">
      <c r="A36" s="9" t="inlineStr">
        <is>
          <t>W-TEST-CAR-035</t>
        </is>
      </c>
      <c r="B36" s="9" t="inlineStr">
        <is>
          <t>TEST-CAR</t>
        </is>
      </c>
      <c r="C36" s="9" t="inlineStr">
        <is>
          <t>LED_STRIP_POWER</t>
        </is>
      </c>
      <c r="D36" s="9" t="inlineStr">
        <is>
          <t>DATABOX J1</t>
        </is>
      </c>
      <c r="E36" s="9" t="inlineStr">
        <is>
          <t>f</t>
        </is>
      </c>
      <c r="F36" s="9" t="inlineStr">
        <is>
          <t>RASPBOX J1</t>
        </is>
      </c>
      <c r="G36" s="9" t="inlineStr">
        <is>
          <t>G</t>
        </is>
      </c>
      <c r="H36" s="9" t="inlineStr">
        <is>
          <t>YE</t>
        </is>
      </c>
      <c r="I36" s="10" t="n"/>
      <c r="J36" s="11">
        <f>IF(I36="","",IFERROR(INDEX(Lists!$F$3:$F$17,MATCH(I36,Lists!$E$3:$E$17,0)),"?"))</f>
        <v/>
      </c>
      <c r="K36" s="9" t="inlineStr">
        <is>
          <t>N</t>
        </is>
      </c>
      <c r="L36" s="9" t="inlineStr">
        <is>
          <t>5V</t>
        </is>
      </c>
      <c r="M36" s="10" t="n"/>
      <c r="N36" s="11">
        <f>IF(D36="","",IFERROR(INDEX(Connectors!$J$2:$J$1000,MATCH(D36,Connectors!$A$2:$A$1000,0))&amp;"",""))</f>
        <v/>
      </c>
      <c r="O36" s="11">
        <f>IF(F36="","",IFERROR(INDEX(Connectors!$J$2:$J$1000,MATCH(F36,Connectors!$A$2:$A$1000,0))&amp;"",""))</f>
        <v/>
      </c>
      <c r="P36" s="9" t="n"/>
      <c r="Q36" s="9" t="n"/>
      <c r="R36" s="10" t="n"/>
      <c r="S36" s="9" t="inlineStr">
        <is>
          <t>LED Strip Power</t>
        </is>
      </c>
      <c r="T36" s="9" t="inlineStr">
        <is>
          <t>2 pontas</t>
        </is>
      </c>
      <c r="U36" s="9" t="n"/>
      <c r="V36" s="11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1">
        <f>IF(D36="","",D36&amp;":"&amp;E36&amp;IF(EXACT(E36,UPPER(E36)),"","|lc"))</f>
        <v/>
      </c>
      <c r="X36" s="11">
        <f>IF(F36="","",F36&amp;":"&amp;G36&amp;IF(EXACT(G36,UPPER(G36)),"","|lc"))</f>
        <v/>
      </c>
      <c r="Y36" s="9" t="n"/>
      <c r="Z36" s="9" t="n"/>
    </row>
    <row r="37">
      <c r="A37" s="9" t="inlineStr">
        <is>
          <t>W-TEST-CAR-036</t>
        </is>
      </c>
      <c r="B37" s="9" t="inlineStr">
        <is>
          <t>TEST-CAR</t>
        </is>
      </c>
      <c r="C37" s="9" t="inlineStr">
        <is>
          <t>LED_PWM</t>
        </is>
      </c>
      <c r="D37" s="9" t="inlineStr">
        <is>
          <t>DATABOX J1</t>
        </is>
      </c>
      <c r="E37" s="9" t="inlineStr">
        <is>
          <t>g</t>
        </is>
      </c>
      <c r="F37" s="9" t="inlineStr">
        <is>
          <t>RASPBOX J1</t>
        </is>
      </c>
      <c r="G37" s="9" t="inlineStr">
        <is>
          <t>H</t>
        </is>
      </c>
      <c r="H37" s="9" t="inlineStr">
        <is>
          <t>WH</t>
        </is>
      </c>
      <c r="I37" s="10" t="n"/>
      <c r="J37" s="11">
        <f>IF(I37="","",IFERROR(INDEX(Lists!$F$3:$F$17,MATCH(I37,Lists!$E$3:$E$17,0)),"?"))</f>
        <v/>
      </c>
      <c r="K37" s="9" t="inlineStr">
        <is>
          <t>N</t>
        </is>
      </c>
      <c r="L37" s="9" t="inlineStr">
        <is>
          <t>3.3V</t>
        </is>
      </c>
      <c r="M37" s="10" t="n"/>
      <c r="N37" s="11">
        <f>IF(D37="","",IFERROR(INDEX(Connectors!$J$2:$J$1000,MATCH(D37,Connectors!$A$2:$A$1000,0))&amp;"",""))</f>
        <v/>
      </c>
      <c r="O37" s="11">
        <f>IF(F37="","",IFERROR(INDEX(Connectors!$J$2:$J$1000,MATCH(F37,Connectors!$A$2:$A$1000,0))&amp;"",""))</f>
        <v/>
      </c>
      <c r="P37" s="9" t="n"/>
      <c r="Q37" s="9" t="n"/>
      <c r="R37" s="10" t="n"/>
      <c r="S37" s="9" t="inlineStr">
        <is>
          <t>LED Strip Control</t>
        </is>
      </c>
      <c r="T37" s="9" t="inlineStr">
        <is>
          <t>2 pontas</t>
        </is>
      </c>
      <c r="U37" s="9" t="n"/>
      <c r="V37" s="11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1">
        <f>IF(D37="","",D37&amp;":"&amp;E37&amp;IF(EXACT(E37,UPPER(E37)),"","|lc"))</f>
        <v/>
      </c>
      <c r="X37" s="11">
        <f>IF(F37="","",F37&amp;":"&amp;G37&amp;IF(EXACT(G37,UPPER(G37)),"","|lc"))</f>
        <v/>
      </c>
      <c r="Y37" s="9" t="n"/>
      <c r="Z37" s="9" t="n"/>
    </row>
    <row r="38">
      <c r="A38" s="9" t="inlineStr">
        <is>
          <t>W-TEST-CAR-037</t>
        </is>
      </c>
      <c r="B38" s="9" t="inlineStr">
        <is>
          <t>TEST-CAR</t>
        </is>
      </c>
      <c r="C38" s="9" t="inlineStr">
        <is>
          <t>LED_STRIP_GND</t>
        </is>
      </c>
      <c r="D38" s="9" t="inlineStr">
        <is>
          <t>DATABOX J1</t>
        </is>
      </c>
      <c r="E38" s="9" t="inlineStr">
        <is>
          <t>h</t>
        </is>
      </c>
      <c r="F38" s="9" t="inlineStr">
        <is>
          <t>RASPBOX J1</t>
        </is>
      </c>
      <c r="G38" s="9" t="inlineStr">
        <is>
          <t>J</t>
        </is>
      </c>
      <c r="H38" s="9" t="inlineStr">
        <is>
          <t>BK</t>
        </is>
      </c>
      <c r="I38" s="10" t="n"/>
      <c r="J38" s="11">
        <f>IF(I38="","",IFERROR(INDEX(Lists!$F$3:$F$17,MATCH(I38,Lists!$E$3:$E$17,0)),"?"))</f>
        <v/>
      </c>
      <c r="K38" s="9" t="inlineStr">
        <is>
          <t>N</t>
        </is>
      </c>
      <c r="L38" s="9" t="inlineStr">
        <is>
          <t>0V</t>
        </is>
      </c>
      <c r="M38" s="10" t="n"/>
      <c r="N38" s="11">
        <f>IF(D38="","",IFERROR(INDEX(Connectors!$J$2:$J$1000,MATCH(D38,Connectors!$A$2:$A$1000,0))&amp;"",""))</f>
        <v/>
      </c>
      <c r="O38" s="11">
        <f>IF(F38="","",IFERROR(INDEX(Connectors!$J$2:$J$1000,MATCH(F38,Connectors!$A$2:$A$1000,0))&amp;"",""))</f>
        <v/>
      </c>
      <c r="P38" s="9" t="n"/>
      <c r="Q38" s="9" t="n"/>
      <c r="R38" s="10" t="n"/>
      <c r="S38" s="9" t="inlineStr">
        <is>
          <t>LED STRIP Ground</t>
        </is>
      </c>
      <c r="T38" s="9" t="inlineStr">
        <is>
          <t>2 pontas</t>
        </is>
      </c>
      <c r="U38" s="9" t="n"/>
      <c r="V38" s="11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1">
        <f>IF(D38="","",D38&amp;":"&amp;E38&amp;IF(EXACT(E38,UPPER(E38)),"","|lc"))</f>
        <v/>
      </c>
      <c r="X38" s="11">
        <f>IF(F38="","",F38&amp;":"&amp;G38&amp;IF(EXACT(G38,UPPER(G38)),"","|lc"))</f>
        <v/>
      </c>
      <c r="Y38" s="9" t="n"/>
      <c r="Z38" s="9" t="n"/>
    </row>
    <row r="39">
      <c r="A39" s="9" t="inlineStr">
        <is>
          <t>W-TEST-CAR-038</t>
        </is>
      </c>
      <c r="B39" s="9" t="inlineStr">
        <is>
          <t>TEST-CAR</t>
        </is>
      </c>
      <c r="C39" s="9" t="inlineStr">
        <is>
          <t>RASPBERRY_SUPPLY</t>
        </is>
      </c>
      <c r="D39" s="9" t="inlineStr">
        <is>
          <t>RASPBOX J1</t>
        </is>
      </c>
      <c r="E39" s="9" t="inlineStr">
        <is>
          <t>A</t>
        </is>
      </c>
      <c r="F39" s="9" t="inlineStr">
        <is>
          <t>PDM J1</t>
        </is>
      </c>
      <c r="G39" s="9" t="inlineStr">
        <is>
          <t>23</t>
        </is>
      </c>
      <c r="H39" s="9" t="inlineStr">
        <is>
          <t>RD</t>
        </is>
      </c>
      <c r="I39" s="10" t="n"/>
      <c r="J39" s="11">
        <f>IF(I39="","",IFERROR(INDEX(Lists!$F$3:$F$17,MATCH(I39,Lists!$E$3:$E$17,0)),"?"))</f>
        <v/>
      </c>
      <c r="K39" s="9" t="inlineStr">
        <is>
          <t>N</t>
        </is>
      </c>
      <c r="L39" s="9" t="inlineStr">
        <is>
          <t>24V</t>
        </is>
      </c>
      <c r="M39" s="10" t="n"/>
      <c r="N39" s="11">
        <f>IF(D39="","",IFERROR(INDEX(Connectors!$J$2:$J$1000,MATCH(D39,Connectors!$A$2:$A$1000,0))&amp;"",""))</f>
        <v/>
      </c>
      <c r="O39" s="11">
        <f>IF(F39="","",IFERROR(INDEX(Connectors!$J$2:$J$1000,MATCH(F39,Connectors!$A$2:$A$1000,0))&amp;"",""))</f>
        <v/>
      </c>
      <c r="P39" s="9" t="n"/>
      <c r="Q39" s="9" t="n"/>
      <c r="R39" s="10" t="n"/>
      <c r="S39" s="9" t="inlineStr">
        <is>
          <t>RaspBerry Power Supply</t>
        </is>
      </c>
      <c r="T39" s="9" t="inlineStr">
        <is>
          <t>1 ponta (folha RaspBox)</t>
        </is>
      </c>
      <c r="U39" s="9" t="n"/>
      <c r="V39" s="11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1">
        <f>IF(D39="","",D39&amp;":"&amp;E39&amp;IF(EXACT(E39,UPPER(E39)),"","|lc"))</f>
        <v/>
      </c>
      <c r="X39" s="11">
        <f>IF(F39="","",F39&amp;":"&amp;G39&amp;IF(EXACT(G39,UPPER(G39)),"","|lc"))</f>
        <v/>
      </c>
      <c r="Y39" s="9" t="n"/>
      <c r="Z39" s="9" t="n"/>
    </row>
    <row r="40">
      <c r="A40" s="12" t="inlineStr">
        <is>
          <t>W-TEST-CAR-039</t>
        </is>
      </c>
      <c r="B40" s="9" t="inlineStr">
        <is>
          <t>TEST-CAR</t>
        </is>
      </c>
      <c r="C40" s="9" t="inlineStr">
        <is>
          <t>AMS_LED_SUPPLY</t>
        </is>
      </c>
      <c r="D40" s="9" t="inlineStr">
        <is>
          <t>AMS LED J1</t>
        </is>
      </c>
      <c r="E40" s="9" t="inlineStr">
        <is>
          <t>1</t>
        </is>
      </c>
      <c r="F40" s="9" t="inlineStr">
        <is>
          <t>DATABOX J1</t>
        </is>
      </c>
      <c r="G40" s="9" t="inlineStr">
        <is>
          <t>?1</t>
        </is>
      </c>
      <c r="H40" s="9" t="inlineStr">
        <is>
          <t>RD</t>
        </is>
      </c>
      <c r="I40" s="10" t="n"/>
      <c r="J40" s="11">
        <f>IF(I40="","",IFERROR(INDEX(Lists!$F$3:$F$17,MATCH(I40,Lists!$E$3:$E$17,0)),"?"))</f>
        <v/>
      </c>
      <c r="K40" s="9" t="inlineStr">
        <is>
          <t>N</t>
        </is>
      </c>
      <c r="L40" s="9" t="inlineStr">
        <is>
          <t>24V</t>
        </is>
      </c>
      <c r="M40" s="10" t="n"/>
      <c r="N40" s="11">
        <f>IF(D40="","",IFERROR(INDEX(Connectors!$J$2:$J$1000,MATCH(D40,Connectors!$A$2:$A$1000,0))&amp;"",""))</f>
        <v/>
      </c>
      <c r="O40" s="11">
        <f>IF(F40="","",IFERROR(INDEX(Connectors!$J$2:$J$1000,MATCH(F40,Connectors!$A$2:$A$1000,0))&amp;"",""))</f>
        <v/>
      </c>
      <c r="P40" s="9" t="n"/>
      <c r="Q40" s="9" t="n"/>
      <c r="R40" s="10" t="n"/>
      <c r="S40" s="9" t="inlineStr">
        <is>
          <t>AMS Error Led Supply (Soldar no fio 1k ohm)</t>
        </is>
      </c>
      <c r="T40" s="9" t="inlineStr">
        <is>
          <t>1 ponta (folha LEDS)</t>
        </is>
      </c>
      <c r="U40" s="12" t="inlineStr">
        <is>
          <t>I-01</t>
        </is>
      </c>
      <c r="V40" s="11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1">
        <f>IF(D40="","",D40&amp;":"&amp;E40&amp;IF(EXACT(E40,UPPER(E40)),"","|lc"))</f>
        <v/>
      </c>
      <c r="X40" s="11">
        <f>IF(F40="","",F40&amp;":"&amp;G40&amp;IF(EXACT(G40,UPPER(G40)),"","|lc"))</f>
        <v/>
      </c>
      <c r="Y40" s="9" t="n"/>
      <c r="Z40" s="9" t="n"/>
    </row>
    <row r="41">
      <c r="A41" s="12" t="inlineStr">
        <is>
          <t>W-TEST-CAR-040</t>
        </is>
      </c>
      <c r="B41" s="9" t="inlineStr">
        <is>
          <t>TEST-CAR</t>
        </is>
      </c>
      <c r="C41" s="9" t="inlineStr">
        <is>
          <t>TS_OFF_LED_GND</t>
        </is>
      </c>
      <c r="D41" s="9" t="inlineStr">
        <is>
          <t>TS OFF LED J1</t>
        </is>
      </c>
      <c r="E41" s="9" t="inlineStr">
        <is>
          <t>2</t>
        </is>
      </c>
      <c r="F41" s="9" t="inlineStr">
        <is>
          <t>DATABOX J1</t>
        </is>
      </c>
      <c r="G41" s="9" t="inlineStr">
        <is>
          <t>?2</t>
        </is>
      </c>
      <c r="H41" s="9" t="inlineStr">
        <is>
          <t>BK</t>
        </is>
      </c>
      <c r="I41" s="10" t="n"/>
      <c r="J41" s="11">
        <f>IF(I41="","",IFERROR(INDEX(Lists!$F$3:$F$17,MATCH(I41,Lists!$E$3:$E$17,0)),"?"))</f>
        <v/>
      </c>
      <c r="K41" s="9" t="inlineStr">
        <is>
          <t>N</t>
        </is>
      </c>
      <c r="L41" s="9" t="inlineStr">
        <is>
          <t>0V</t>
        </is>
      </c>
      <c r="M41" s="10" t="n"/>
      <c r="N41" s="11">
        <f>IF(D41="","",IFERROR(INDEX(Connectors!$J$2:$J$1000,MATCH(D41,Connectors!$A$2:$A$1000,0))&amp;"",""))</f>
        <v/>
      </c>
      <c r="O41" s="11">
        <f>IF(F41="","",IFERROR(INDEX(Connectors!$J$2:$J$1000,MATCH(F41,Connectors!$A$2:$A$1000,0))&amp;"",""))</f>
        <v/>
      </c>
      <c r="P41" s="9" t="n"/>
      <c r="Q41" s="9" t="n"/>
      <c r="R41" s="10" t="n"/>
      <c r="S41" s="9" t="inlineStr">
        <is>
          <t>TS Off Led Ground</t>
        </is>
      </c>
      <c r="T41" s="9" t="inlineStr">
        <is>
          <t>1 ponta (folha LEDS)</t>
        </is>
      </c>
      <c r="U41" s="12" t="inlineStr">
        <is>
          <t>I-01</t>
        </is>
      </c>
      <c r="V41" s="11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1">
        <f>IF(D41="","",D41&amp;":"&amp;E41&amp;IF(EXACT(E41,UPPER(E41)),"","|lc"))</f>
        <v/>
      </c>
      <c r="X41" s="11">
        <f>IF(F41="","",F41&amp;":"&amp;G41&amp;IF(EXACT(G41,UPPER(G41)),"","|lc"))</f>
        <v/>
      </c>
      <c r="Y41" s="9" t="n"/>
      <c r="Z41" s="9" t="n"/>
    </row>
    <row r="42">
      <c r="A42" s="12" t="inlineStr">
        <is>
          <t>W-TEST-CAR-041</t>
        </is>
      </c>
      <c r="B42" s="9" t="inlineStr">
        <is>
          <t>TEST-CAR</t>
        </is>
      </c>
      <c r="C42" s="9" t="inlineStr">
        <is>
          <t>IMD_LED_SUPPLY</t>
        </is>
      </c>
      <c r="D42" s="9" t="inlineStr">
        <is>
          <t>IMD LED J1</t>
        </is>
      </c>
      <c r="E42" s="9" t="inlineStr">
        <is>
          <t>1</t>
        </is>
      </c>
      <c r="F42" s="9" t="inlineStr">
        <is>
          <t>DATABOX J1</t>
        </is>
      </c>
      <c r="G42" s="9" t="inlineStr">
        <is>
          <t>?3</t>
        </is>
      </c>
      <c r="H42" s="9" t="inlineStr">
        <is>
          <t>RD</t>
        </is>
      </c>
      <c r="I42" s="10" t="n"/>
      <c r="J42" s="11">
        <f>IF(I42="","",IFERROR(INDEX(Lists!$F$3:$F$17,MATCH(I42,Lists!$E$3:$E$17,0)),"?"))</f>
        <v/>
      </c>
      <c r="K42" s="9" t="inlineStr">
        <is>
          <t>N</t>
        </is>
      </c>
      <c r="L42" s="9" t="inlineStr">
        <is>
          <t>24V</t>
        </is>
      </c>
      <c r="M42" s="10" t="n"/>
      <c r="N42" s="11">
        <f>IF(D42="","",IFERROR(INDEX(Connectors!$J$2:$J$1000,MATCH(D42,Connectors!$A$2:$A$1000,0))&amp;"",""))</f>
        <v/>
      </c>
      <c r="O42" s="11">
        <f>IF(F42="","",IFERROR(INDEX(Connectors!$J$2:$J$1000,MATCH(F42,Connectors!$A$2:$A$1000,0))&amp;"",""))</f>
        <v/>
      </c>
      <c r="P42" s="9" t="n"/>
      <c r="Q42" s="9" t="n"/>
      <c r="R42" s="10" t="n"/>
      <c r="S42" s="9" t="inlineStr">
        <is>
          <t>IMD Error Led Supply (Soldar no fio 1k ohm)</t>
        </is>
      </c>
      <c r="T42" s="9" t="inlineStr">
        <is>
          <t>1 ponta (folha LEDS)</t>
        </is>
      </c>
      <c r="U42" s="12" t="inlineStr">
        <is>
          <t>I-01</t>
        </is>
      </c>
      <c r="V42" s="11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1">
        <f>IF(D42="","",D42&amp;":"&amp;E42&amp;IF(EXACT(E42,UPPER(E42)),"","|lc"))</f>
        <v/>
      </c>
      <c r="X42" s="11">
        <f>IF(F42="","",F42&amp;":"&amp;G42&amp;IF(EXACT(G42,UPPER(G42)),"","|lc"))</f>
        <v/>
      </c>
      <c r="Y42" s="9" t="n"/>
      <c r="Z42" s="9" t="n"/>
    </row>
    <row r="43">
      <c r="A43" s="12" t="inlineStr">
        <is>
          <t>W-TEST-CAR-042</t>
        </is>
      </c>
      <c r="B43" s="9" t="inlineStr">
        <is>
          <t>TEST-CAR</t>
        </is>
      </c>
      <c r="C43" s="9" t="inlineStr">
        <is>
          <t>SDC_LED_GND</t>
        </is>
      </c>
      <c r="D43" s="9" t="inlineStr">
        <is>
          <t>SDC LED J1</t>
        </is>
      </c>
      <c r="E43" s="9" t="inlineStr">
        <is>
          <t>2</t>
        </is>
      </c>
      <c r="F43" s="9" t="inlineStr">
        <is>
          <t>DATABOX J1</t>
        </is>
      </c>
      <c r="G43" s="9" t="inlineStr">
        <is>
          <t>?4</t>
        </is>
      </c>
      <c r="H43" s="9" t="inlineStr">
        <is>
          <t>BK</t>
        </is>
      </c>
      <c r="I43" s="10" t="n"/>
      <c r="J43" s="11">
        <f>IF(I43="","",IFERROR(INDEX(Lists!$F$3:$F$17,MATCH(I43,Lists!$E$3:$E$17,0)),"?"))</f>
        <v/>
      </c>
      <c r="K43" s="9" t="inlineStr">
        <is>
          <t>N</t>
        </is>
      </c>
      <c r="L43" s="9" t="inlineStr">
        <is>
          <t>0V</t>
        </is>
      </c>
      <c r="M43" s="10" t="n"/>
      <c r="N43" s="11">
        <f>IF(D43="","",IFERROR(INDEX(Connectors!$J$2:$J$1000,MATCH(D43,Connectors!$A$2:$A$1000,0))&amp;"",""))</f>
        <v/>
      </c>
      <c r="O43" s="11">
        <f>IF(F43="","",IFERROR(INDEX(Connectors!$J$2:$J$1000,MATCH(F43,Connectors!$A$2:$A$1000,0))&amp;"",""))</f>
        <v/>
      </c>
      <c r="P43" s="9" t="n"/>
      <c r="Q43" s="9" t="n"/>
      <c r="R43" s="10" t="n"/>
      <c r="S43" s="9" t="inlineStr">
        <is>
          <t>Shutdown Circuit Status Led Ground</t>
        </is>
      </c>
      <c r="T43" s="9" t="inlineStr">
        <is>
          <t>1 ponta (folha LEDS)</t>
        </is>
      </c>
      <c r="U43" s="12" t="inlineStr">
        <is>
          <t>I-01</t>
        </is>
      </c>
      <c r="V43" s="11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1">
        <f>IF(D43="","",D43&amp;":"&amp;E43&amp;IF(EXACT(E43,UPPER(E43)),"","|lc"))</f>
        <v/>
      </c>
      <c r="X43" s="11">
        <f>IF(F43="","",F43&amp;":"&amp;G43&amp;IF(EXACT(G43,UPPER(G43)),"","|lc"))</f>
        <v/>
      </c>
      <c r="Y43" s="9" t="n"/>
      <c r="Z43" s="9" t="n"/>
    </row>
    <row r="44">
      <c r="A44" s="12" t="inlineStr">
        <is>
          <t>W-TEST-CAR-043</t>
        </is>
      </c>
      <c r="B44" s="9" t="inlineStr">
        <is>
          <t>TEST-CAR</t>
        </is>
      </c>
      <c r="C44" s="9" t="inlineStr">
        <is>
          <t>LV_ON_LED_GND</t>
        </is>
      </c>
      <c r="D44" s="9" t="inlineStr">
        <is>
          <t>LV ON LED J1</t>
        </is>
      </c>
      <c r="E44" s="9" t="inlineStr">
        <is>
          <t>2</t>
        </is>
      </c>
      <c r="F44" s="9" t="inlineStr">
        <is>
          <t>DATABOX J1</t>
        </is>
      </c>
      <c r="G44" s="9" t="inlineStr">
        <is>
          <t>?5</t>
        </is>
      </c>
      <c r="H44" s="9" t="inlineStr">
        <is>
          <t>BK</t>
        </is>
      </c>
      <c r="I44" s="10" t="n"/>
      <c r="J44" s="11">
        <f>IF(I44="","",IFERROR(INDEX(Lists!$F$3:$F$17,MATCH(I44,Lists!$E$3:$E$17,0)),"?"))</f>
        <v/>
      </c>
      <c r="K44" s="9" t="inlineStr">
        <is>
          <t>N</t>
        </is>
      </c>
      <c r="L44" s="9" t="inlineStr">
        <is>
          <t>0V</t>
        </is>
      </c>
      <c r="M44" s="10" t="n"/>
      <c r="N44" s="11">
        <f>IF(D44="","",IFERROR(INDEX(Connectors!$J$2:$J$1000,MATCH(D44,Connectors!$A$2:$A$1000,0))&amp;"",""))</f>
        <v/>
      </c>
      <c r="O44" s="11">
        <f>IF(F44="","",IFERROR(INDEX(Connectors!$J$2:$J$1000,MATCH(F44,Connectors!$A$2:$A$1000,0))&amp;"",""))</f>
        <v/>
      </c>
      <c r="P44" s="9" t="n"/>
      <c r="Q44" s="9" t="n"/>
      <c r="R44" s="10" t="n"/>
      <c r="S44" s="9" t="inlineStr">
        <is>
          <t>LV ON Led Ground</t>
        </is>
      </c>
      <c r="T44" s="9" t="inlineStr">
        <is>
          <t>1 ponta (folha LEDS)</t>
        </is>
      </c>
      <c r="U44" s="12" t="inlineStr">
        <is>
          <t>I-01</t>
        </is>
      </c>
      <c r="V44" s="11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1">
        <f>IF(D44="","",D44&amp;":"&amp;E44&amp;IF(EXACT(E44,UPPER(E44)),"","|lc"))</f>
        <v/>
      </c>
      <c r="X44" s="11">
        <f>IF(F44="","",F44&amp;":"&amp;G44&amp;IF(EXACT(G44,UPPER(G44)),"","|lc"))</f>
        <v/>
      </c>
      <c r="Y44" s="9" t="n"/>
      <c r="Z44" s="9" t="n"/>
    </row>
    <row r="45">
      <c r="A45" s="12" t="inlineStr">
        <is>
          <t>W-TEST-CAR-044</t>
        </is>
      </c>
      <c r="B45" s="9" t="inlineStr">
        <is>
          <t>TEST-CAR</t>
        </is>
      </c>
      <c r="C45" s="9" t="inlineStr">
        <is>
          <t>TS_ON_LED_GND</t>
        </is>
      </c>
      <c r="D45" s="9" t="inlineStr">
        <is>
          <t>TS ON LED J1</t>
        </is>
      </c>
      <c r="E45" s="9" t="inlineStr">
        <is>
          <t>2</t>
        </is>
      </c>
      <c r="F45" s="9" t="inlineStr">
        <is>
          <t>DATABOX J1</t>
        </is>
      </c>
      <c r="G45" s="9" t="inlineStr">
        <is>
          <t>?6</t>
        </is>
      </c>
      <c r="H45" s="9" t="inlineStr">
        <is>
          <t>BK</t>
        </is>
      </c>
      <c r="I45" s="10" t="n"/>
      <c r="J45" s="11">
        <f>IF(I45="","",IFERROR(INDEX(Lists!$F$3:$F$17,MATCH(I45,Lists!$E$3:$E$17,0)),"?"))</f>
        <v/>
      </c>
      <c r="K45" s="9" t="inlineStr">
        <is>
          <t>N</t>
        </is>
      </c>
      <c r="L45" s="9" t="inlineStr">
        <is>
          <t>0V</t>
        </is>
      </c>
      <c r="M45" s="10" t="n"/>
      <c r="N45" s="11">
        <f>IF(D45="","",IFERROR(INDEX(Connectors!$J$2:$J$1000,MATCH(D45,Connectors!$A$2:$A$1000,0))&amp;"",""))</f>
        <v/>
      </c>
      <c r="O45" s="11">
        <f>IF(F45="","",IFERROR(INDEX(Connectors!$J$2:$J$1000,MATCH(F45,Connectors!$A$2:$A$1000,0))&amp;"",""))</f>
        <v/>
      </c>
      <c r="P45" s="9" t="n"/>
      <c r="Q45" s="9" t="n"/>
      <c r="R45" s="10" t="n"/>
      <c r="S45" s="9" t="inlineStr">
        <is>
          <t>TS On Led Ground</t>
        </is>
      </c>
      <c r="T45" s="9" t="inlineStr">
        <is>
          <t>1 ponta (folha LEDS)</t>
        </is>
      </c>
      <c r="U45" s="12" t="inlineStr">
        <is>
          <t>I-01</t>
        </is>
      </c>
      <c r="V45" s="11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1">
        <f>IF(D45="","",D45&amp;":"&amp;E45&amp;IF(EXACT(E45,UPPER(E45)),"","|lc"))</f>
        <v/>
      </c>
      <c r="X45" s="11">
        <f>IF(F45="","",F45&amp;":"&amp;G45&amp;IF(EXACT(G45,UPPER(G45)),"","|lc"))</f>
        <v/>
      </c>
      <c r="Y45" s="9" t="n"/>
      <c r="Z45" s="9" t="n"/>
    </row>
    <row r="46">
      <c r="A46" s="12" t="inlineStr">
        <is>
          <t>W-TEST-CAR-045</t>
        </is>
      </c>
      <c r="B46" s="9" t="inlineStr">
        <is>
          <t>TEST-CAR</t>
        </is>
      </c>
      <c r="C46" s="9" t="inlineStr">
        <is>
          <t>LED_R2D_SIGNAL</t>
        </is>
      </c>
      <c r="D46" s="9" t="inlineStr">
        <is>
          <t>R2D J1</t>
        </is>
      </c>
      <c r="E46" s="9" t="inlineStr">
        <is>
          <t>4</t>
        </is>
      </c>
      <c r="F46" s="9" t="inlineStr">
        <is>
          <t>LVBOX</t>
        </is>
      </c>
      <c r="G46" s="9" t="inlineStr">
        <is>
          <t>?1</t>
        </is>
      </c>
      <c r="H46" s="9" t="inlineStr">
        <is>
          <t>WH</t>
        </is>
      </c>
      <c r="I46" s="10" t="n"/>
      <c r="J46" s="11">
        <f>IF(I46="","",IFERROR(INDEX(Lists!$F$3:$F$17,MATCH(I46,Lists!$E$3:$E$17,0)),"?"))</f>
        <v/>
      </c>
      <c r="K46" s="9" t="inlineStr">
        <is>
          <t>N</t>
        </is>
      </c>
      <c r="L46" s="9" t="inlineStr">
        <is>
          <t>0V</t>
        </is>
      </c>
      <c r="M46" s="10" t="n"/>
      <c r="N46" s="11">
        <f>IF(D46="","",IFERROR(INDEX(Connectors!$J$2:$J$1000,MATCH(D46,Connectors!$A$2:$A$1000,0))&amp;"",""))</f>
        <v/>
      </c>
      <c r="O46" s="11">
        <f>IF(F46="","",IFERROR(INDEX(Connectors!$J$2:$J$1000,MATCH(F46,Connectors!$A$2:$A$1000,0))&amp;"",""))</f>
        <v/>
      </c>
      <c r="P46" s="9" t="n"/>
      <c r="Q46" s="9" t="n"/>
      <c r="R46" s="10" t="n"/>
      <c r="S46" s="9" t="inlineStr">
        <is>
          <t>LED R2D Signal</t>
        </is>
      </c>
      <c r="T46" s="9" t="inlineStr">
        <is>
          <t>1 ponta (folha R2D Button)</t>
        </is>
      </c>
      <c r="U46" s="12" t="inlineStr">
        <is>
          <t>I-01</t>
        </is>
      </c>
      <c r="V46" s="11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1">
        <f>IF(D46="","",D46&amp;":"&amp;E46&amp;IF(EXACT(E46,UPPER(E46)),"","|lc"))</f>
        <v/>
      </c>
      <c r="X46" s="11">
        <f>IF(F46="","",F46&amp;":"&amp;G46&amp;IF(EXACT(G46,UPPER(G46)),"","|lc"))</f>
        <v/>
      </c>
      <c r="Y46" s="9" t="n"/>
      <c r="Z46" s="9" t="n"/>
    </row>
  </sheetData>
  <autoFilter ref="A1:Z46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BOTS</t>
        </is>
      </c>
      <c r="B2" s="9" t="inlineStr">
        <is>
          <t>BOTS</t>
        </is>
      </c>
      <c r="C2" s="9" t="inlineStr">
        <is>
          <t>TEST-CAR</t>
        </is>
      </c>
      <c r="D2" s="9" t="inlineStr">
        <is>
          <t>CONNECTOR</t>
        </is>
      </c>
      <c r="E2" s="11">
        <f>COUNTIF(Pins!$A$2:$A$1000,A2)</f>
        <v/>
      </c>
      <c r="F2" s="10" t="n"/>
      <c r="G2" s="10" t="n"/>
      <c r="H2" s="9" t="n"/>
      <c r="I2" s="9" t="n"/>
      <c r="J2" s="9" t="n"/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n"/>
      <c r="T2" s="10" t="n"/>
    </row>
    <row r="3">
      <c r="A3" s="9" t="inlineStr">
        <is>
          <t>INERTIA</t>
        </is>
      </c>
      <c r="B3" s="9" t="inlineStr">
        <is>
          <t>INERTIA</t>
        </is>
      </c>
      <c r="C3" s="9" t="inlineStr">
        <is>
          <t>TEST-CAR</t>
        </is>
      </c>
      <c r="D3" s="9" t="inlineStr">
        <is>
          <t>CONNECTOR</t>
        </is>
      </c>
      <c r="E3" s="11">
        <f>COUNTIF(Pins!$A$2:$A$1000,A3)</f>
        <v/>
      </c>
      <c r="F3" s="10" t="n"/>
      <c r="G3" s="10" t="n"/>
      <c r="H3" s="9" t="n"/>
      <c r="I3" s="9" t="n"/>
      <c r="J3" s="9" t="n"/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n"/>
      <c r="T3" s="10" t="n"/>
    </row>
    <row r="4">
      <c r="A4" s="9" t="inlineStr">
        <is>
          <t>RIGHT EMERGENCY</t>
        </is>
      </c>
      <c r="B4" s="9" t="inlineStr">
        <is>
          <t>RIGHT</t>
        </is>
      </c>
      <c r="C4" s="9" t="inlineStr">
        <is>
          <t>TEST-CAR</t>
        </is>
      </c>
      <c r="D4" s="9" t="inlineStr">
        <is>
          <t>CONNECTOR</t>
        </is>
      </c>
      <c r="E4" s="11">
        <f>COUNTIF(Pins!$A$2:$A$1000,A4)</f>
        <v/>
      </c>
      <c r="F4" s="10" t="n"/>
      <c r="G4" s="10" t="n"/>
      <c r="H4" s="9" t="n"/>
      <c r="I4" s="9" t="n"/>
      <c r="J4" s="9" t="n"/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n"/>
      <c r="T4" s="10" t="n"/>
    </row>
    <row r="5">
      <c r="A5" s="9" t="inlineStr">
        <is>
          <t>LEFT EMERGENCY</t>
        </is>
      </c>
      <c r="B5" s="9" t="inlineStr">
        <is>
          <t>LEFT</t>
        </is>
      </c>
      <c r="C5" s="9" t="inlineStr">
        <is>
          <t>TEST-CAR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0" t="n"/>
    </row>
    <row r="6">
      <c r="A6" s="9" t="inlineStr">
        <is>
          <t>DATABOX J1</t>
        </is>
      </c>
      <c r="B6" s="9" t="inlineStr">
        <is>
          <t>DATABOX</t>
        </is>
      </c>
      <c r="C6" s="9" t="inlineStr">
        <is>
          <t>TEST-CAR</t>
        </is>
      </c>
      <c r="D6" s="9" t="inlineStr">
        <is>
          <t>CONNECTOR</t>
        </is>
      </c>
      <c r="E6" s="11">
        <f>COUNTIF(Pins!$A$2:$A$1000,A6)</f>
        <v/>
      </c>
      <c r="F6" s="10" t="n"/>
      <c r="G6" s="10" t="n"/>
      <c r="H6" s="9" t="n"/>
      <c r="I6" s="9" t="n"/>
      <c r="J6" s="9" t="n"/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n"/>
      <c r="T6" s="10" t="n"/>
    </row>
    <row r="7">
      <c r="A7" s="9" t="inlineStr">
        <is>
          <t>RASPBOX J1</t>
        </is>
      </c>
      <c r="B7" s="9" t="inlineStr">
        <is>
          <t>RASPBOX</t>
        </is>
      </c>
      <c r="C7" s="9" t="inlineStr">
        <is>
          <t>TEST-CAR</t>
        </is>
      </c>
      <c r="D7" s="9" t="inlineStr">
        <is>
          <t>CONNECTOR</t>
        </is>
      </c>
      <c r="E7" s="11">
        <f>COUNTIF(Pins!$A$2:$A$1000,A7)</f>
        <v/>
      </c>
      <c r="F7" s="10" t="n"/>
      <c r="G7" s="10" t="n"/>
      <c r="H7" s="9" t="n"/>
      <c r="I7" s="9" t="n"/>
      <c r="J7" s="9" t="n"/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n"/>
      <c r="T7" s="10" t="n"/>
    </row>
    <row r="8">
      <c r="A8" s="9" t="inlineStr">
        <is>
          <t>AMS LED J1</t>
        </is>
      </c>
      <c r="B8" s="9" t="inlineStr">
        <is>
          <t>AMS</t>
        </is>
      </c>
      <c r="C8" s="9" t="inlineStr">
        <is>
          <t>TEST-CAR</t>
        </is>
      </c>
      <c r="D8" s="9" t="inlineStr">
        <is>
          <t>CONNECTOR</t>
        </is>
      </c>
      <c r="E8" s="11">
        <f>COUNTIF(Pins!$A$2:$A$1000,A8)</f>
        <v/>
      </c>
      <c r="F8" s="10" t="n"/>
      <c r="G8" s="10" t="n"/>
      <c r="H8" s="9" t="n"/>
      <c r="I8" s="9" t="n"/>
      <c r="J8" s="9" t="n"/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n"/>
      <c r="T8" s="10" t="n"/>
    </row>
    <row r="9">
      <c r="A9" s="9" t="inlineStr">
        <is>
          <t>TS OFF LED J1</t>
        </is>
      </c>
      <c r="B9" s="9" t="inlineStr">
        <is>
          <t>TS</t>
        </is>
      </c>
      <c r="C9" s="9" t="inlineStr">
        <is>
          <t>TEST-CAR</t>
        </is>
      </c>
      <c r="D9" s="9" t="inlineStr">
        <is>
          <t>CONNECTOR</t>
        </is>
      </c>
      <c r="E9" s="11">
        <f>COUNTIF(Pins!$A$2:$A$1000,A9)</f>
        <v/>
      </c>
      <c r="F9" s="10" t="n"/>
      <c r="G9" s="10" t="n"/>
      <c r="H9" s="9" t="n"/>
      <c r="I9" s="9" t="n"/>
      <c r="J9" s="9" t="n"/>
      <c r="K9" s="9" t="n"/>
      <c r="L9" s="9" t="n"/>
      <c r="M9" s="10" t="n"/>
      <c r="N9" s="10" t="n"/>
      <c r="O9" s="10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n"/>
      <c r="T9" s="10" t="n"/>
    </row>
    <row r="10">
      <c r="A10" s="9" t="inlineStr">
        <is>
          <t>IMD LED J1</t>
        </is>
      </c>
      <c r="B10" s="9" t="inlineStr">
        <is>
          <t>IMD</t>
        </is>
      </c>
      <c r="C10" s="9" t="inlineStr">
        <is>
          <t>TEST-CAR</t>
        </is>
      </c>
      <c r="D10" s="9" t="inlineStr">
        <is>
          <t>CONNECTOR</t>
        </is>
      </c>
      <c r="E10" s="11">
        <f>COUNTIF(Pins!$A$2:$A$1000,A10)</f>
        <v/>
      </c>
      <c r="F10" s="10" t="n"/>
      <c r="G10" s="10" t="n"/>
      <c r="H10" s="9" t="n"/>
      <c r="I10" s="9" t="n"/>
      <c r="J10" s="9" t="n"/>
      <c r="K10" s="9" t="n"/>
      <c r="L10" s="9" t="n"/>
      <c r="M10" s="10" t="n"/>
      <c r="N10" s="10" t="n"/>
      <c r="O10" s="10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n"/>
      <c r="T10" s="10" t="n"/>
    </row>
    <row r="11">
      <c r="A11" s="9" t="inlineStr">
        <is>
          <t>SDC LED J1</t>
        </is>
      </c>
      <c r="B11" s="9" t="inlineStr">
        <is>
          <t>SDC</t>
        </is>
      </c>
      <c r="C11" s="9" t="inlineStr">
        <is>
          <t>TEST-CAR</t>
        </is>
      </c>
      <c r="D11" s="9" t="inlineStr">
        <is>
          <t>CONNECTOR</t>
        </is>
      </c>
      <c r="E11" s="11">
        <f>COUNTIF(Pins!$A$2:$A$1000,A11)</f>
        <v/>
      </c>
      <c r="F11" s="10" t="n"/>
      <c r="G11" s="10" t="n"/>
      <c r="H11" s="9" t="n"/>
      <c r="I11" s="9" t="n"/>
      <c r="J11" s="9" t="n"/>
      <c r="K11" s="9" t="n"/>
      <c r="L11" s="9" t="n"/>
      <c r="M11" s="10" t="n"/>
      <c r="N11" s="10" t="n"/>
      <c r="O11" s="10" t="n"/>
      <c r="P11" s="11">
        <f>IF(COUNTIF(Segments!$B$2:$C$1000,A11)&gt;0,"Y","N")</f>
        <v/>
      </c>
      <c r="Q11" s="11">
        <f>COUNTIF(Wires!$D$2:$D$1000,A11)+COUNTIF(Wires!$F$2:$F$1000,A11)</f>
        <v/>
      </c>
      <c r="R11" s="11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9" t="n"/>
      <c r="T11" s="10" t="n"/>
    </row>
    <row r="12">
      <c r="A12" s="9" t="inlineStr">
        <is>
          <t>LV ON LED J1</t>
        </is>
      </c>
      <c r="B12" s="9" t="inlineStr">
        <is>
          <t>LV</t>
        </is>
      </c>
      <c r="C12" s="9" t="inlineStr">
        <is>
          <t>TEST-CAR</t>
        </is>
      </c>
      <c r="D12" s="9" t="inlineStr">
        <is>
          <t>CONNECTOR</t>
        </is>
      </c>
      <c r="E12" s="11">
        <f>COUNTIF(Pins!$A$2:$A$1000,A12)</f>
        <v/>
      </c>
      <c r="F12" s="10" t="n"/>
      <c r="G12" s="10" t="n"/>
      <c r="H12" s="9" t="n"/>
      <c r="I12" s="9" t="n"/>
      <c r="J12" s="9" t="n"/>
      <c r="K12" s="9" t="n"/>
      <c r="L12" s="9" t="n"/>
      <c r="M12" s="10" t="n"/>
      <c r="N12" s="10" t="n"/>
      <c r="O12" s="10" t="n"/>
      <c r="P12" s="11">
        <f>IF(COUNTIF(Segments!$B$2:$C$1000,A12)&gt;0,"Y","N")</f>
        <v/>
      </c>
      <c r="Q12" s="11">
        <f>COUNTIF(Wires!$D$2:$D$1000,A12)+COUNTIF(Wires!$F$2:$F$1000,A12)</f>
        <v/>
      </c>
      <c r="R12" s="11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9" t="n"/>
      <c r="T12" s="10" t="n"/>
    </row>
    <row r="13">
      <c r="A13" s="9" t="inlineStr">
        <is>
          <t>TS ON LED J1</t>
        </is>
      </c>
      <c r="B13" s="9" t="inlineStr">
        <is>
          <t>TS</t>
        </is>
      </c>
      <c r="C13" s="9" t="inlineStr">
        <is>
          <t>TEST-CAR</t>
        </is>
      </c>
      <c r="D13" s="9" t="inlineStr">
        <is>
          <t>CONNECTOR</t>
        </is>
      </c>
      <c r="E13" s="11">
        <f>COUNTIF(Pins!$A$2:$A$1000,A13)</f>
        <v/>
      </c>
      <c r="F13" s="10" t="n"/>
      <c r="G13" s="10" t="n"/>
      <c r="H13" s="9" t="n"/>
      <c r="I13" s="9" t="n"/>
      <c r="J13" s="9" t="n"/>
      <c r="K13" s="9" t="n"/>
      <c r="L13" s="9" t="n"/>
      <c r="M13" s="10" t="n"/>
      <c r="N13" s="10" t="n"/>
      <c r="O13" s="10" t="n"/>
      <c r="P13" s="11">
        <f>IF(COUNTIF(Segments!$B$2:$C$1000,A13)&gt;0,"Y","N")</f>
        <v/>
      </c>
      <c r="Q13" s="11">
        <f>COUNTIF(Wires!$D$2:$D$1000,A13)+COUNTIF(Wires!$F$2:$F$1000,A13)</f>
        <v/>
      </c>
      <c r="R13" s="11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9" t="n"/>
      <c r="T13" s="10" t="n"/>
    </row>
    <row r="14">
      <c r="A14" s="9" t="inlineStr">
        <is>
          <t>EMERGENCY J1</t>
        </is>
      </c>
      <c r="B14" s="9" t="inlineStr">
        <is>
          <t>EMERGENCY</t>
        </is>
      </c>
      <c r="C14" s="9" t="inlineStr">
        <is>
          <t>TEST-CAR</t>
        </is>
      </c>
      <c r="D14" s="9" t="inlineStr">
        <is>
          <t>CONNECTOR</t>
        </is>
      </c>
      <c r="E14" s="11">
        <f>COUNTIF(Pins!$A$2:$A$1000,A14)</f>
        <v/>
      </c>
      <c r="F14" s="10" t="n"/>
      <c r="G14" s="10" t="n"/>
      <c r="H14" s="9" t="n"/>
      <c r="I14" s="9" t="n"/>
      <c r="J14" s="9" t="n"/>
      <c r="K14" s="9" t="n"/>
      <c r="L14" s="9" t="n"/>
      <c r="M14" s="10" t="n"/>
      <c r="N14" s="10" t="n"/>
      <c r="O14" s="10" t="n"/>
      <c r="P14" s="11">
        <f>IF(COUNTIF(Segments!$B$2:$C$1000,A14)&gt;0,"Y","N")</f>
        <v/>
      </c>
      <c r="Q14" s="11">
        <f>COUNTIF(Wires!$D$2:$D$1000,A14)+COUNTIF(Wires!$F$2:$F$1000,A14)</f>
        <v/>
      </c>
      <c r="R14" s="11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9" t="n"/>
      <c r="T14" s="10" t="n"/>
    </row>
    <row r="15">
      <c r="A15" s="9" t="inlineStr">
        <is>
          <t>IGNITION J1</t>
        </is>
      </c>
      <c r="B15" s="9" t="inlineStr">
        <is>
          <t>IGNITION</t>
        </is>
      </c>
      <c r="C15" s="9" t="inlineStr">
        <is>
          <t>TEST-CAR</t>
        </is>
      </c>
      <c r="D15" s="9" t="inlineStr">
        <is>
          <t>CONNECTOR</t>
        </is>
      </c>
      <c r="E15" s="11">
        <f>COUNTIF(Pins!$A$2:$A$1000,A15)</f>
        <v/>
      </c>
      <c r="F15" s="10" t="n"/>
      <c r="G15" s="10" t="n"/>
      <c r="H15" s="9" t="n"/>
      <c r="I15" s="9" t="n"/>
      <c r="J15" s="9" t="n"/>
      <c r="K15" s="9" t="n"/>
      <c r="L15" s="9" t="n"/>
      <c r="M15" s="10" t="n"/>
      <c r="N15" s="10" t="n"/>
      <c r="O15" s="10" t="n"/>
      <c r="P15" s="11">
        <f>IF(COUNTIF(Segments!$B$2:$C$1000,A15)&gt;0,"Y","N")</f>
        <v/>
      </c>
      <c r="Q15" s="11">
        <f>COUNTIF(Wires!$D$2:$D$1000,A15)+COUNTIF(Wires!$F$2:$F$1000,A15)</f>
        <v/>
      </c>
      <c r="R15" s="11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9" t="n"/>
      <c r="T15" s="10" t="n"/>
    </row>
    <row r="16">
      <c r="A16" s="9" t="inlineStr">
        <is>
          <t>R2D J1</t>
        </is>
      </c>
      <c r="B16" s="9" t="inlineStr">
        <is>
          <t>R2D</t>
        </is>
      </c>
      <c r="C16" s="9" t="inlineStr">
        <is>
          <t>TEST-CAR</t>
        </is>
      </c>
      <c r="D16" s="9" t="inlineStr">
        <is>
          <t>CONNECTOR</t>
        </is>
      </c>
      <c r="E16" s="11">
        <f>COUNTIF(Pins!$A$2:$A$1000,A16)</f>
        <v/>
      </c>
      <c r="F16" s="10" t="n"/>
      <c r="G16" s="10" t="n"/>
      <c r="H16" s="9" t="n"/>
      <c r="I16" s="9" t="n"/>
      <c r="J16" s="9" t="n"/>
      <c r="K16" s="9" t="n"/>
      <c r="L16" s="9" t="n"/>
      <c r="M16" s="10" t="n"/>
      <c r="N16" s="10" t="n"/>
      <c r="O16" s="10" t="n"/>
      <c r="P16" s="11">
        <f>IF(COUNTIF(Segments!$B$2:$C$1000,A16)&gt;0,"Y","N")</f>
        <v/>
      </c>
      <c r="Q16" s="11">
        <f>COUNTIF(Wires!$D$2:$D$1000,A16)+COUNTIF(Wires!$F$2:$F$1000,A16)</f>
        <v/>
      </c>
      <c r="R16" s="11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9" t="n"/>
      <c r="T16" s="10" t="n"/>
    </row>
    <row r="17">
      <c r="A17" s="9" t="inlineStr">
        <is>
          <t>SPL BOTS-1</t>
        </is>
      </c>
      <c r="B17" s="9" t="inlineStr">
        <is>
          <t>SPL</t>
        </is>
      </c>
      <c r="C17" s="9" t="inlineStr">
        <is>
          <t>TEST-CAR</t>
        </is>
      </c>
      <c r="D17" s="9" t="inlineStr">
        <is>
          <t>SPLICE</t>
        </is>
      </c>
      <c r="E17" s="11">
        <f>COUNTIF(Pins!$A$2:$A$1000,A17)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1">
        <f>IF(COUNTIF(Segments!$B$2:$C$1000,A17)&gt;0,"Y","N")</f>
        <v/>
      </c>
      <c r="Q17" s="11">
        <f>COUNTIF(Wires!$D$2:$D$1000,A17)+COUNTIF(Wires!$F$2:$F$1000,A17)</f>
        <v/>
      </c>
      <c r="R17" s="11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9" t="n"/>
      <c r="T17" s="9" t="n"/>
    </row>
    <row r="18">
      <c r="A18" s="9" t="inlineStr">
        <is>
          <t>SPL BOTS-2</t>
        </is>
      </c>
      <c r="B18" s="9" t="inlineStr">
        <is>
          <t>SPL</t>
        </is>
      </c>
      <c r="C18" s="9" t="inlineStr">
        <is>
          <t>TEST-CAR</t>
        </is>
      </c>
      <c r="D18" s="9" t="inlineStr">
        <is>
          <t>SPLICE</t>
        </is>
      </c>
      <c r="E18" s="11">
        <f>COUNTIF(Pins!$A$2:$A$1000,A18)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1">
        <f>IF(COUNTIF(Segments!$B$2:$C$1000,A18)&gt;0,"Y","N")</f>
        <v/>
      </c>
      <c r="Q18" s="11">
        <f>COUNTIF(Wires!$D$2:$D$1000,A18)+COUNTIF(Wires!$F$2:$F$1000,A18)</f>
        <v/>
      </c>
      <c r="R18" s="11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9" t="n"/>
      <c r="T18" s="9" t="n"/>
    </row>
    <row r="19">
      <c r="A19" s="9" t="inlineStr">
        <is>
          <t>SPL RIGHT EMERGENCY-2</t>
        </is>
      </c>
      <c r="B19" s="9" t="inlineStr">
        <is>
          <t>SPL</t>
        </is>
      </c>
      <c r="C19" s="9" t="inlineStr">
        <is>
          <t>TEST-CAR</t>
        </is>
      </c>
      <c r="D19" s="9" t="inlineStr">
        <is>
          <t>SPLICE</t>
        </is>
      </c>
      <c r="E19" s="11">
        <f>COUNTIF(Pins!$A$2:$A$1000,A19)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1">
        <f>IF(COUNTIF(Segments!$B$2:$C$1000,A19)&gt;0,"Y","N")</f>
        <v/>
      </c>
      <c r="Q19" s="11">
        <f>COUNTIF(Wires!$D$2:$D$1000,A19)+COUNTIF(Wires!$F$2:$F$1000,A19)</f>
        <v/>
      </c>
      <c r="R19" s="11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9" t="n"/>
      <c r="T19" s="9" t="n"/>
    </row>
    <row r="20">
      <c r="A20" s="9" t="inlineStr">
        <is>
          <t>SPL LEFT EMERGENCY-1</t>
        </is>
      </c>
      <c r="B20" s="9" t="inlineStr">
        <is>
          <t>SPL</t>
        </is>
      </c>
      <c r="C20" s="9" t="inlineStr">
        <is>
          <t>TEST-CAR</t>
        </is>
      </c>
      <c r="D20" s="9" t="inlineStr">
        <is>
          <t>SPLICE</t>
        </is>
      </c>
      <c r="E20" s="11">
        <f>COUNTIF(Pins!$A$2:$A$1000,A20)</f>
        <v/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1">
        <f>IF(COUNTIF(Segments!$B$2:$C$1000,A20)&gt;0,"Y","N")</f>
        <v/>
      </c>
      <c r="Q20" s="11">
        <f>COUNTIF(Wires!$D$2:$D$1000,A20)+COUNTIF(Wires!$F$2:$F$1000,A20)</f>
        <v/>
      </c>
      <c r="R20" s="11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9" t="n"/>
      <c r="T20" s="9" t="n"/>
    </row>
    <row r="21">
      <c r="A21" s="9" t="inlineStr">
        <is>
          <t>SPL LEFT EMERGENCY-2</t>
        </is>
      </c>
      <c r="B21" s="9" t="inlineStr">
        <is>
          <t>SPL</t>
        </is>
      </c>
      <c r="C21" s="9" t="inlineStr">
        <is>
          <t>TEST-CAR</t>
        </is>
      </c>
      <c r="D21" s="9" t="inlineStr">
        <is>
          <t>SPLICE</t>
        </is>
      </c>
      <c r="E21" s="11">
        <f>COUNTIF(Pins!$A$2:$A$1000,A21)</f>
        <v/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1">
        <f>IF(COUNTIF(Segments!$B$2:$C$1000,A21)&gt;0,"Y","N")</f>
        <v/>
      </c>
      <c r="Q21" s="11">
        <f>COUNTIF(Wires!$D$2:$D$1000,A21)+COUNTIF(Wires!$F$2:$F$1000,A21)</f>
        <v/>
      </c>
      <c r="R21" s="11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9" t="n"/>
      <c r="T21" s="9" t="n"/>
    </row>
    <row r="22">
      <c r="A22" s="9" t="inlineStr">
        <is>
          <t>LVBOX J1</t>
        </is>
      </c>
      <c r="B22" s="9" t="inlineStr">
        <is>
          <t>LVBOX</t>
        </is>
      </c>
      <c r="C22" s="9" t="inlineStr">
        <is>
          <t>TEST-CAR</t>
        </is>
      </c>
      <c r="D22" s="9" t="inlineStr">
        <is>
          <t>CONNECTOR</t>
        </is>
      </c>
      <c r="E22" s="11">
        <f>COUNTIF(Pins!$A$2:$A$1000,A22)</f>
        <v/>
      </c>
      <c r="F22" s="10" t="n"/>
      <c r="G22" s="10" t="n"/>
      <c r="H22" s="9" t="n"/>
      <c r="I22" s="9" t="n"/>
      <c r="J22" s="9" t="n"/>
      <c r="K22" s="9" t="n"/>
      <c r="L22" s="9" t="n"/>
      <c r="M22" s="10" t="n"/>
      <c r="N22" s="10" t="n"/>
      <c r="O22" s="10" t="n"/>
      <c r="P22" s="11">
        <f>IF(COUNTIF(Segments!$B$2:$C$1000,A22)&gt;0,"Y","N")</f>
        <v/>
      </c>
      <c r="Q22" s="11">
        <f>COUNTIF(Wires!$D$2:$D$1000,A22)+COUNTIF(Wires!$F$2:$F$1000,A22)</f>
        <v/>
      </c>
      <c r="R22" s="11">
        <f>IF(A22="","",IF(D22="SPLICE","",IF(P22="N","fora da topologia; ","")&amp;IF(G22="","sem P/N; ","")&amp;IF(AND(G22&lt;&gt;"",COUNTIF(Parts!$A$2:$A$1000,G22)=0),"P/N não está em Parts; ","")&amp;IF(M22="","sem xyz; ","")))</f>
        <v/>
      </c>
      <c r="S22" s="9" t="inlineStr">
        <is>
          <t>Sem folha própria — criado a partir dos destinos.</t>
        </is>
      </c>
      <c r="T22" s="10" t="n"/>
    </row>
    <row r="23">
      <c r="A23" s="9" t="inlineStr">
        <is>
          <t>ACQUISITION 1 J2</t>
        </is>
      </c>
      <c r="B23" s="9" t="inlineStr">
        <is>
          <t>ACQUISITION</t>
        </is>
      </c>
      <c r="C23" s="9" t="inlineStr">
        <is>
          <t>TEST-CAR</t>
        </is>
      </c>
      <c r="D23" s="9" t="inlineStr">
        <is>
          <t>CONNECTOR</t>
        </is>
      </c>
      <c r="E23" s="11">
        <f>COUNTIF(Pins!$A$2:$A$1000,A23)</f>
        <v/>
      </c>
      <c r="F23" s="10" t="n"/>
      <c r="G23" s="10" t="n"/>
      <c r="H23" s="9" t="n"/>
      <c r="I23" s="9" t="n"/>
      <c r="J23" s="9" t="n"/>
      <c r="K23" s="9" t="n"/>
      <c r="L23" s="9" t="n"/>
      <c r="M23" s="10" t="n"/>
      <c r="N23" s="10" t="n"/>
      <c r="O23" s="10" t="n"/>
      <c r="P23" s="11">
        <f>IF(COUNTIF(Segments!$B$2:$C$1000,A23)&gt;0,"Y","N")</f>
        <v/>
      </c>
      <c r="Q23" s="11">
        <f>COUNTIF(Wires!$D$2:$D$1000,A23)+COUNTIF(Wires!$F$2:$F$1000,A23)</f>
        <v/>
      </c>
      <c r="R23" s="11">
        <f>IF(A23="","",IF(D23="SPLICE","",IF(P23="N","fora da topologia; ","")&amp;IF(G23="","sem P/N; ","")&amp;IF(AND(G23&lt;&gt;"",COUNTIF(Parts!$A$2:$A$1000,G23)=0),"P/N não está em Parts; ","")&amp;IF(M23="","sem xyz; ","")))</f>
        <v/>
      </c>
      <c r="S23" s="9" t="inlineStr">
        <is>
          <t>Sem folha própria — criado a partir dos destinos.</t>
        </is>
      </c>
      <c r="T23" s="10" t="n"/>
    </row>
    <row r="24">
      <c r="A24" s="9" t="inlineStr">
        <is>
          <t>PDM J2</t>
        </is>
      </c>
      <c r="B24" s="9" t="inlineStr">
        <is>
          <t>PDM</t>
        </is>
      </c>
      <c r="C24" s="9" t="inlineStr">
        <is>
          <t>TEST-CAR</t>
        </is>
      </c>
      <c r="D24" s="9" t="inlineStr">
        <is>
          <t>CONNECTOR</t>
        </is>
      </c>
      <c r="E24" s="11">
        <f>COUNTIF(Pins!$A$2:$A$1000,A24)</f>
        <v/>
      </c>
      <c r="F24" s="10" t="n"/>
      <c r="G24" s="10" t="n"/>
      <c r="H24" s="9" t="n"/>
      <c r="I24" s="9" t="n"/>
      <c r="J24" s="9" t="n"/>
      <c r="K24" s="9" t="n"/>
      <c r="L24" s="9" t="n"/>
      <c r="M24" s="10" t="n"/>
      <c r="N24" s="10" t="n"/>
      <c r="O24" s="10" t="n"/>
      <c r="P24" s="11">
        <f>IF(COUNTIF(Segments!$B$2:$C$1000,A24)&gt;0,"Y","N")</f>
        <v/>
      </c>
      <c r="Q24" s="11">
        <f>COUNTIF(Wires!$D$2:$D$1000,A24)+COUNTIF(Wires!$F$2:$F$1000,A24)</f>
        <v/>
      </c>
      <c r="R24" s="11">
        <f>IF(A24="","",IF(D24="SPLICE","",IF(P24="N","fora da topologia; ","")&amp;IF(G24="","sem P/N; ","")&amp;IF(AND(G24&lt;&gt;"",COUNTIF(Parts!$A$2:$A$1000,G24)=0),"P/N não está em Parts; ","")&amp;IF(M24="","sem xyz; ","")))</f>
        <v/>
      </c>
      <c r="S24" s="9" t="inlineStr">
        <is>
          <t>Sem folha própria — criado a partir dos destinos.</t>
        </is>
      </c>
      <c r="T24" s="10" t="n"/>
    </row>
    <row r="25">
      <c r="A25" s="9" t="inlineStr">
        <is>
          <t>DATABOX J2</t>
        </is>
      </c>
      <c r="B25" s="9" t="inlineStr">
        <is>
          <t>DATABOX</t>
        </is>
      </c>
      <c r="C25" s="9" t="inlineStr">
        <is>
          <t>TEST-CAR</t>
        </is>
      </c>
      <c r="D25" s="9" t="inlineStr">
        <is>
          <t>CONNECTOR</t>
        </is>
      </c>
      <c r="E25" s="11">
        <f>COUNTIF(Pins!$A$2:$A$1000,A25)</f>
        <v/>
      </c>
      <c r="F25" s="10" t="n"/>
      <c r="G25" s="10" t="n"/>
      <c r="H25" s="9" t="n"/>
      <c r="I25" s="9" t="n"/>
      <c r="J25" s="9" t="n"/>
      <c r="K25" s="9" t="n"/>
      <c r="L25" s="9" t="n"/>
      <c r="M25" s="10" t="n"/>
      <c r="N25" s="10" t="n"/>
      <c r="O25" s="10" t="n"/>
      <c r="P25" s="11">
        <f>IF(COUNTIF(Segments!$B$2:$C$1000,A25)&gt;0,"Y","N")</f>
        <v/>
      </c>
      <c r="Q25" s="11">
        <f>COUNTIF(Wires!$D$2:$D$1000,A25)+COUNTIF(Wires!$F$2:$F$1000,A25)</f>
        <v/>
      </c>
      <c r="R25" s="11">
        <f>IF(A25="","",IF(D25="SPLICE","",IF(P25="N","fora da topologia; ","")&amp;IF(G25="","sem P/N; ","")&amp;IF(AND(G25&lt;&gt;"",COUNTIF(Parts!$A$2:$A$1000,G25)=0),"P/N não está em Parts; ","")&amp;IF(M25="","sem xyz; ","")))</f>
        <v/>
      </c>
      <c r="S25" s="9" t="inlineStr">
        <is>
          <t>Sem folha própria — criado a partir dos destinos.</t>
        </is>
      </c>
      <c r="T25" s="10" t="n"/>
    </row>
    <row r="26">
      <c r="A26" s="9" t="inlineStr">
        <is>
          <t>LVBOX J2</t>
        </is>
      </c>
      <c r="B26" s="9" t="inlineStr">
        <is>
          <t>LVBOX</t>
        </is>
      </c>
      <c r="C26" s="9" t="inlineStr">
        <is>
          <t>TEST-CAR</t>
        </is>
      </c>
      <c r="D26" s="9" t="inlineStr">
        <is>
          <t>CONNECTOR</t>
        </is>
      </c>
      <c r="E26" s="11">
        <f>COUNTIF(Pins!$A$2:$A$1000,A26)</f>
        <v/>
      </c>
      <c r="F26" s="10" t="n"/>
      <c r="G26" s="10" t="n"/>
      <c r="H26" s="9" t="n"/>
      <c r="I26" s="9" t="n"/>
      <c r="J26" s="9" t="n"/>
      <c r="K26" s="9" t="n"/>
      <c r="L26" s="9" t="n"/>
      <c r="M26" s="10" t="n"/>
      <c r="N26" s="10" t="n"/>
      <c r="O26" s="10" t="n"/>
      <c r="P26" s="11">
        <f>IF(COUNTIF(Segments!$B$2:$C$1000,A26)&gt;0,"Y","N")</f>
        <v/>
      </c>
      <c r="Q26" s="11">
        <f>COUNTIF(Wires!$D$2:$D$1000,A26)+COUNTIF(Wires!$F$2:$F$1000,A26)</f>
        <v/>
      </c>
      <c r="R26" s="11">
        <f>IF(A26="","",IF(D26="SPLICE","",IF(P26="N","fora da topologia; ","")&amp;IF(G26="","sem P/N; ","")&amp;IF(AND(G26&lt;&gt;"",COUNTIF(Parts!$A$2:$A$1000,G26)=0),"P/N não está em Parts; ","")&amp;IF(M26="","sem xyz; ","")))</f>
        <v/>
      </c>
      <c r="S26" s="9" t="inlineStr">
        <is>
          <t>Sem folha própria — criado a partir dos destinos.</t>
        </is>
      </c>
      <c r="T26" s="10" t="n"/>
    </row>
    <row r="27">
      <c r="A27" s="9" t="inlineStr">
        <is>
          <t>SIDE PANEL</t>
        </is>
      </c>
      <c r="B27" s="9" t="inlineStr">
        <is>
          <t>SIDE</t>
        </is>
      </c>
      <c r="C27" s="9" t="inlineStr">
        <is>
          <t>TEST-CAR</t>
        </is>
      </c>
      <c r="D27" s="9" t="inlineStr">
        <is>
          <t>CONNECTOR</t>
        </is>
      </c>
      <c r="E27" s="11">
        <f>COUNTIF(Pins!$A$2:$A$1000,A27)</f>
        <v/>
      </c>
      <c r="F27" s="10" t="n"/>
      <c r="G27" s="10" t="n"/>
      <c r="H27" s="9" t="n"/>
      <c r="I27" s="9" t="n"/>
      <c r="J27" s="9" t="n"/>
      <c r="K27" s="9" t="n"/>
      <c r="L27" s="9" t="n"/>
      <c r="M27" s="10" t="n"/>
      <c r="N27" s="10" t="n"/>
      <c r="O27" s="10" t="n"/>
      <c r="P27" s="11">
        <f>IF(COUNTIF(Segments!$B$2:$C$1000,A27)&gt;0,"Y","N")</f>
        <v/>
      </c>
      <c r="Q27" s="11">
        <f>COUNTIF(Wires!$D$2:$D$1000,A27)+COUNTIF(Wires!$F$2:$F$1000,A27)</f>
        <v/>
      </c>
      <c r="R27" s="11">
        <f>IF(A27="","",IF(D27="SPLICE","",IF(P27="N","fora da topologia; ","")&amp;IF(G27="","sem P/N; ","")&amp;IF(AND(G27&lt;&gt;"",COUNTIF(Parts!$A$2:$A$1000,G27)=0),"P/N não está em Parts; ","")&amp;IF(M27="","sem xyz; ","")))</f>
        <v/>
      </c>
      <c r="S27" s="9" t="inlineStr">
        <is>
          <t>Sem folha própria — criado a partir dos destinos.</t>
        </is>
      </c>
      <c r="T27" s="10" t="n"/>
    </row>
    <row r="28">
      <c r="A28" s="9" t="inlineStr">
        <is>
          <t>SIDE PANEL J1</t>
        </is>
      </c>
      <c r="B28" s="9" t="inlineStr">
        <is>
          <t>SIDE</t>
        </is>
      </c>
      <c r="C28" s="9" t="inlineStr">
        <is>
          <t>TEST-CAR</t>
        </is>
      </c>
      <c r="D28" s="9" t="inlineStr">
        <is>
          <t>CONNECTOR</t>
        </is>
      </c>
      <c r="E28" s="11">
        <f>COUNTIF(Pins!$A$2:$A$1000,A28)</f>
        <v/>
      </c>
      <c r="F28" s="10" t="n"/>
      <c r="G28" s="10" t="n"/>
      <c r="H28" s="9" t="n"/>
      <c r="I28" s="9" t="n"/>
      <c r="J28" s="9" t="n"/>
      <c r="K28" s="9" t="n"/>
      <c r="L28" s="9" t="n"/>
      <c r="M28" s="10" t="n"/>
      <c r="N28" s="10" t="n"/>
      <c r="O28" s="10" t="n"/>
      <c r="P28" s="11">
        <f>IF(COUNTIF(Segments!$B$2:$C$1000,A28)&gt;0,"Y","N")</f>
        <v/>
      </c>
      <c r="Q28" s="11">
        <f>COUNTIF(Wires!$D$2:$D$1000,A28)+COUNTIF(Wires!$F$2:$F$1000,A28)</f>
        <v/>
      </c>
      <c r="R28" s="11">
        <f>IF(A28="","",IF(D28="SPLICE","",IF(P28="N","fora da topologia; ","")&amp;IF(G28="","sem P/N; ","")&amp;IF(AND(G28&lt;&gt;"",COUNTIF(Parts!$A$2:$A$1000,G28)=0),"P/N não está em Parts; ","")&amp;IF(M28="","sem xyz; ","")))</f>
        <v/>
      </c>
      <c r="S28" s="9" t="inlineStr">
        <is>
          <t>Sem folha própria — criado a partir dos destinos.</t>
        </is>
      </c>
      <c r="T28" s="10" t="n"/>
    </row>
    <row r="29">
      <c r="A29" s="9" t="inlineStr">
        <is>
          <t>JBOX J1</t>
        </is>
      </c>
      <c r="B29" s="9" t="inlineStr">
        <is>
          <t>JBOX</t>
        </is>
      </c>
      <c r="C29" s="9" t="inlineStr">
        <is>
          <t>TEST-CAR</t>
        </is>
      </c>
      <c r="D29" s="9" t="inlineStr">
        <is>
          <t>CONNECTOR</t>
        </is>
      </c>
      <c r="E29" s="11">
        <f>COUNTIF(Pins!$A$2:$A$1000,A29)</f>
        <v/>
      </c>
      <c r="F29" s="10" t="n"/>
      <c r="G29" s="10" t="n"/>
      <c r="H29" s="9" t="n"/>
      <c r="I29" s="9" t="n"/>
      <c r="J29" s="9" t="n"/>
      <c r="K29" s="9" t="n"/>
      <c r="L29" s="9" t="n"/>
      <c r="M29" s="10" t="n"/>
      <c r="N29" s="10" t="n"/>
      <c r="O29" s="10" t="n"/>
      <c r="P29" s="11">
        <f>IF(COUNTIF(Segments!$B$2:$C$1000,A29)&gt;0,"Y","N")</f>
        <v/>
      </c>
      <c r="Q29" s="11">
        <f>COUNTIF(Wires!$D$2:$D$1000,A29)+COUNTIF(Wires!$F$2:$F$1000,A29)</f>
        <v/>
      </c>
      <c r="R29" s="11">
        <f>IF(A29="","",IF(D29="SPLICE","",IF(P29="N","fora da topologia; ","")&amp;IF(G29="","sem P/N; ","")&amp;IF(AND(G29&lt;&gt;"",COUNTIF(Parts!$A$2:$A$1000,G29)=0),"P/N não está em Parts; ","")&amp;IF(M29="","sem xyz; ","")))</f>
        <v/>
      </c>
      <c r="S29" s="9" t="inlineStr">
        <is>
          <t>Sem folha própria — criado a partir dos destinos.</t>
        </is>
      </c>
      <c r="T29" s="10" t="n"/>
    </row>
    <row r="30">
      <c r="A30" s="9" t="inlineStr">
        <is>
          <t>PDM J1</t>
        </is>
      </c>
      <c r="B30" s="9" t="inlineStr">
        <is>
          <t>PDM</t>
        </is>
      </c>
      <c r="C30" s="9" t="inlineStr">
        <is>
          <t>TEST-CAR</t>
        </is>
      </c>
      <c r="D30" s="9" t="inlineStr">
        <is>
          <t>CONNECTOR</t>
        </is>
      </c>
      <c r="E30" s="11">
        <f>COUNTIF(Pins!$A$2:$A$1000,A30)</f>
        <v/>
      </c>
      <c r="F30" s="10" t="n"/>
      <c r="G30" s="10" t="n"/>
      <c r="H30" s="9" t="n"/>
      <c r="I30" s="9" t="n"/>
      <c r="J30" s="9" t="n"/>
      <c r="K30" s="9" t="n"/>
      <c r="L30" s="9" t="n"/>
      <c r="M30" s="10" t="n"/>
      <c r="N30" s="10" t="n"/>
      <c r="O30" s="10" t="n"/>
      <c r="P30" s="11">
        <f>IF(COUNTIF(Segments!$B$2:$C$1000,A30)&gt;0,"Y","N")</f>
        <v/>
      </c>
      <c r="Q30" s="11">
        <f>COUNTIF(Wires!$D$2:$D$1000,A30)+COUNTIF(Wires!$F$2:$F$1000,A30)</f>
        <v/>
      </c>
      <c r="R30" s="11">
        <f>IF(A30="","",IF(D30="SPLICE","",IF(P30="N","fora da topologia; ","")&amp;IF(G30="","sem P/N; ","")&amp;IF(AND(G30&lt;&gt;"",COUNTIF(Parts!$A$2:$A$1000,G30)=0),"P/N não está em Parts; ","")&amp;IF(M30="","sem xyz; ","")))</f>
        <v/>
      </c>
      <c r="S30" s="9" t="inlineStr">
        <is>
          <t>Sem folha própria — criado a partir dos destinos.</t>
        </is>
      </c>
      <c r="T30" s="10" t="n"/>
    </row>
    <row r="31">
      <c r="A31" s="9" t="inlineStr">
        <is>
          <t>ACQUISITION 1 J1</t>
        </is>
      </c>
      <c r="B31" s="9" t="inlineStr">
        <is>
          <t>ACQUISITION</t>
        </is>
      </c>
      <c r="C31" s="9" t="inlineStr">
        <is>
          <t>TEST-CAR</t>
        </is>
      </c>
      <c r="D31" s="9" t="inlineStr">
        <is>
          <t>CONNECTOR</t>
        </is>
      </c>
      <c r="E31" s="11">
        <f>COUNTIF(Pins!$A$2:$A$1000,A31)</f>
        <v/>
      </c>
      <c r="F31" s="10" t="n"/>
      <c r="G31" s="10" t="n"/>
      <c r="H31" s="9" t="n"/>
      <c r="I31" s="9" t="n"/>
      <c r="J31" s="9" t="n"/>
      <c r="K31" s="9" t="n"/>
      <c r="L31" s="9" t="n"/>
      <c r="M31" s="10" t="n"/>
      <c r="N31" s="10" t="n"/>
      <c r="O31" s="10" t="n"/>
      <c r="P31" s="11">
        <f>IF(COUNTIF(Segments!$B$2:$C$1000,A31)&gt;0,"Y","N")</f>
        <v/>
      </c>
      <c r="Q31" s="11">
        <f>COUNTIF(Wires!$D$2:$D$1000,A31)+COUNTIF(Wires!$F$2:$F$1000,A31)</f>
        <v/>
      </c>
      <c r="R31" s="11">
        <f>IF(A31="","",IF(D31="SPLICE","",IF(P31="N","fora da topologia; ","")&amp;IF(G31="","sem P/N; ","")&amp;IF(AND(G31&lt;&gt;"",COUNTIF(Parts!$A$2:$A$1000,G31)=0),"P/N não está em Parts; ","")&amp;IF(M31="","sem xyz; ","")))</f>
        <v/>
      </c>
      <c r="S31" s="9" t="inlineStr">
        <is>
          <t>Sem folha própria — criado a partir dos destinos.</t>
        </is>
      </c>
      <c r="T31" s="10" t="n"/>
    </row>
    <row r="32">
      <c r="A32" s="9" t="inlineStr">
        <is>
          <t>LVBOX</t>
        </is>
      </c>
      <c r="B32" s="9" t="inlineStr">
        <is>
          <t>LVBOX</t>
        </is>
      </c>
      <c r="C32" s="9" t="inlineStr">
        <is>
          <t>TEST-CAR</t>
        </is>
      </c>
      <c r="D32" s="9" t="inlineStr">
        <is>
          <t>CONNECTOR</t>
        </is>
      </c>
      <c r="E32" s="11">
        <f>COUNTIF(Pins!$A$2:$A$1000,A32)</f>
        <v/>
      </c>
      <c r="F32" s="10" t="n"/>
      <c r="G32" s="10" t="n"/>
      <c r="H32" s="9" t="n"/>
      <c r="I32" s="9" t="n"/>
      <c r="J32" s="9" t="n"/>
      <c r="K32" s="9" t="n"/>
      <c r="L32" s="9" t="n"/>
      <c r="M32" s="10" t="n"/>
      <c r="N32" s="10" t="n"/>
      <c r="O32" s="10" t="n"/>
      <c r="P32" s="11">
        <f>IF(COUNTIF(Segments!$B$2:$C$1000,A32)&gt;0,"Y","N")</f>
        <v/>
      </c>
      <c r="Q32" s="11">
        <f>COUNTIF(Wires!$D$2:$D$1000,A32)+COUNTIF(Wires!$F$2:$F$1000,A32)</f>
        <v/>
      </c>
      <c r="R32" s="11">
        <f>IF(A32="","",IF(D32="SPLICE","",IF(P32="N","fora da topologia; ","")&amp;IF(G32="","sem P/N; ","")&amp;IF(AND(G32&lt;&gt;"",COUNTIF(Parts!$A$2:$A$1000,G32)=0),"P/N não está em Parts; ","")&amp;IF(M32="","sem xyz; ","")))</f>
        <v/>
      </c>
      <c r="S32" s="9" t="inlineStr">
        <is>
          <t>Sem folha própria — criado a partir dos destinos.</t>
        </is>
      </c>
      <c r="T32" s="10" t="n"/>
    </row>
  </sheetData>
  <autoFilter ref="A1:T32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BOTS</t>
        </is>
      </c>
      <c r="B2" s="9" t="inlineStr">
        <is>
          <t>1</t>
        </is>
      </c>
      <c r="C2" s="9" t="n"/>
      <c r="D2" s="9" t="n"/>
      <c r="E2" s="9" t="n"/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BOTS</t>
        </is>
      </c>
      <c r="B3" s="9" t="inlineStr">
        <is>
          <t>2</t>
        </is>
      </c>
      <c r="C3" s="9" t="n"/>
      <c r="D3" s="9" t="n"/>
      <c r="E3" s="9" t="n"/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INERTIA</t>
        </is>
      </c>
      <c r="B4" s="9" t="inlineStr">
        <is>
          <t>1</t>
        </is>
      </c>
      <c r="C4" s="9" t="n"/>
      <c r="D4" s="9" t="n"/>
      <c r="E4" s="9" t="n"/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INERTIA</t>
        </is>
      </c>
      <c r="B5" s="9" t="inlineStr">
        <is>
          <t>2</t>
        </is>
      </c>
      <c r="C5" s="9" t="n"/>
      <c r="D5" s="9" t="n"/>
      <c r="E5" s="9" t="n"/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RIGHT EMERGENCY</t>
        </is>
      </c>
      <c r="B6" s="9" t="inlineStr">
        <is>
          <t>1</t>
        </is>
      </c>
      <c r="C6" s="9" t="n"/>
      <c r="D6" s="9" t="n"/>
      <c r="E6" s="9" t="n"/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RIGHT EMERGENCY</t>
        </is>
      </c>
      <c r="B7" s="9" t="inlineStr">
        <is>
          <t>2</t>
        </is>
      </c>
      <c r="C7" s="9" t="n"/>
      <c r="D7" s="9" t="n"/>
      <c r="E7" s="9" t="n"/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LEFT EMERGENCY</t>
        </is>
      </c>
      <c r="B8" s="9" t="inlineStr">
        <is>
          <t>1</t>
        </is>
      </c>
      <c r="C8" s="9" t="n"/>
      <c r="D8" s="9" t="n"/>
      <c r="E8" s="9" t="n"/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LEFT EMERGENCY</t>
        </is>
      </c>
      <c r="B9" s="9" t="inlineStr">
        <is>
          <t>2</t>
        </is>
      </c>
      <c r="C9" s="9" t="n"/>
      <c r="D9" s="9" t="n"/>
      <c r="E9" s="9" t="n"/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DATABOX J1</t>
        </is>
      </c>
      <c r="B10" s="9" t="inlineStr">
        <is>
          <t>A</t>
        </is>
      </c>
      <c r="C10" s="9" t="inlineStr">
        <is>
          <t>24V In</t>
        </is>
      </c>
      <c r="D10" s="9" t="inlineStr">
        <is>
          <t>IN</t>
        </is>
      </c>
      <c r="E10" s="9" t="inlineStr">
        <is>
          <t>24V</t>
        </is>
      </c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DATABOX J1</t>
        </is>
      </c>
      <c r="B11" s="9" t="inlineStr">
        <is>
          <t>B</t>
        </is>
      </c>
      <c r="C11" s="9" t="inlineStr">
        <is>
          <t>GND In</t>
        </is>
      </c>
      <c r="D11" s="9" t="inlineStr">
        <is>
          <t>IN</t>
        </is>
      </c>
      <c r="E11" s="9" t="inlineStr">
        <is>
          <t>0V</t>
        </is>
      </c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DATABOX J1</t>
        </is>
      </c>
      <c r="B12" s="9" t="inlineStr">
        <is>
          <t>C</t>
        </is>
      </c>
      <c r="C12" s="9" t="inlineStr">
        <is>
          <t>CAN_PWT_L</t>
        </is>
      </c>
      <c r="D12" s="9" t="inlineStr">
        <is>
          <t>BIDIR</t>
        </is>
      </c>
      <c r="E12" s="9" t="inlineStr">
        <is>
          <t>5V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DATABOX J1</t>
        </is>
      </c>
      <c r="B13" s="9" t="inlineStr">
        <is>
          <t>D</t>
        </is>
      </c>
      <c r="C13" s="9" t="inlineStr">
        <is>
          <t>CAN_PWT_H</t>
        </is>
      </c>
      <c r="D13" s="9" t="inlineStr">
        <is>
          <t>BIDIR</t>
        </is>
      </c>
      <c r="E13" s="9" t="inlineStr">
        <is>
          <t>5V</t>
        </is>
      </c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DATABOX J1</t>
        </is>
      </c>
      <c r="B14" s="9" t="inlineStr">
        <is>
          <t>E</t>
        </is>
      </c>
      <c r="C14" s="9" t="inlineStr">
        <is>
          <t>CAN_AUT_L</t>
        </is>
      </c>
      <c r="D14" s="9" t="inlineStr">
        <is>
          <t>BIDIR</t>
        </is>
      </c>
      <c r="E14" s="9" t="n"/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DATABOX J1</t>
        </is>
      </c>
      <c r="B15" s="9" t="inlineStr">
        <is>
          <t>F</t>
        </is>
      </c>
      <c r="C15" s="9" t="inlineStr">
        <is>
          <t>CAN_AUT_H</t>
        </is>
      </c>
      <c r="D15" s="9" t="inlineStr">
        <is>
          <t>BIDIR</t>
        </is>
      </c>
      <c r="E15" s="9" t="inlineStr">
        <is>
          <t>5V</t>
        </is>
      </c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DATABOX J1</t>
        </is>
      </c>
      <c r="B16" s="9" t="inlineStr">
        <is>
          <t>G</t>
        </is>
      </c>
      <c r="C16" s="9" t="inlineStr">
        <is>
          <t>CAN_PWT_L</t>
        </is>
      </c>
      <c r="D16" s="9" t="inlineStr">
        <is>
          <t>BIDIR</t>
        </is>
      </c>
      <c r="E16" s="9" t="inlineStr">
        <is>
          <t>5V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DATABOX J1</t>
        </is>
      </c>
      <c r="B17" s="9" t="inlineStr">
        <is>
          <t>H</t>
        </is>
      </c>
      <c r="C17" s="9" t="inlineStr">
        <is>
          <t>CAN_PWT_H</t>
        </is>
      </c>
      <c r="D17" s="9" t="inlineStr">
        <is>
          <t>BIDIR</t>
        </is>
      </c>
      <c r="E17" s="9" t="inlineStr">
        <is>
          <t>5V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DATABOX J1</t>
        </is>
      </c>
      <c r="B18" s="9" t="inlineStr">
        <is>
          <t>J</t>
        </is>
      </c>
      <c r="C18" s="9" t="inlineStr">
        <is>
          <t>ST_ANGLE_Supply</t>
        </is>
      </c>
      <c r="D18" s="9" t="inlineStr">
        <is>
          <t>OUT</t>
        </is>
      </c>
      <c r="E18" s="9" t="inlineStr">
        <is>
          <t>5V</t>
        </is>
      </c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DATABOX J1</t>
        </is>
      </c>
      <c r="B19" s="9" t="inlineStr">
        <is>
          <t>K</t>
        </is>
      </c>
      <c r="C19" s="9" t="inlineStr">
        <is>
          <t>ST_Angle</t>
        </is>
      </c>
      <c r="D19" s="9" t="inlineStr">
        <is>
          <t>IN</t>
        </is>
      </c>
      <c r="E19" s="9" t="inlineStr">
        <is>
          <t>5V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DATABOX J1</t>
        </is>
      </c>
      <c r="B20" s="9" t="inlineStr">
        <is>
          <t>L</t>
        </is>
      </c>
      <c r="C20" s="9" t="inlineStr">
        <is>
          <t>ST_ANGLE_GROUND</t>
        </is>
      </c>
      <c r="D20" s="9" t="inlineStr">
        <is>
          <t>OUT</t>
        </is>
      </c>
      <c r="E20" s="9" t="inlineStr">
        <is>
          <t>0V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DATABOX J1</t>
        </is>
      </c>
      <c r="B21" s="9" t="inlineStr">
        <is>
          <t>M</t>
        </is>
      </c>
      <c r="C21" s="9" t="inlineStr">
        <is>
          <t>SUSP_LEFT_Supply</t>
        </is>
      </c>
      <c r="D21" s="9" t="inlineStr">
        <is>
          <t>OUT</t>
        </is>
      </c>
      <c r="E21" s="9" t="inlineStr">
        <is>
          <t>5V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DATABOX J1</t>
        </is>
      </c>
      <c r="B22" s="9" t="inlineStr">
        <is>
          <t>N</t>
        </is>
      </c>
      <c r="C22" s="9" t="inlineStr">
        <is>
          <t>SUSP_LEFT</t>
        </is>
      </c>
      <c r="D22" s="9" t="inlineStr">
        <is>
          <t>IN</t>
        </is>
      </c>
      <c r="E22" s="9" t="inlineStr">
        <is>
          <t>5V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DATABOX J1</t>
        </is>
      </c>
      <c r="B23" s="9" t="inlineStr">
        <is>
          <t>P</t>
        </is>
      </c>
      <c r="C23" s="9" t="inlineStr">
        <is>
          <t>SUSP_LEFT_GROUND</t>
        </is>
      </c>
      <c r="D23" s="9" t="inlineStr">
        <is>
          <t>OUT</t>
        </is>
      </c>
      <c r="E23" s="9" t="inlineStr">
        <is>
          <t>0V</t>
        </is>
      </c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DATABOX J1</t>
        </is>
      </c>
      <c r="B24" s="9" t="inlineStr">
        <is>
          <t>R</t>
        </is>
      </c>
      <c r="C24" s="9" t="inlineStr">
        <is>
          <t>SUSP_RIGHT_Supply</t>
        </is>
      </c>
      <c r="D24" s="9" t="inlineStr">
        <is>
          <t>OUT</t>
        </is>
      </c>
      <c r="E24" s="9" t="inlineStr">
        <is>
          <t>5V</t>
        </is>
      </c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DATABOX J1</t>
        </is>
      </c>
      <c r="B25" s="9" t="inlineStr">
        <is>
          <t>S</t>
        </is>
      </c>
      <c r="C25" s="9" t="inlineStr">
        <is>
          <t>SUSP_RIGHT</t>
        </is>
      </c>
      <c r="D25" s="9" t="inlineStr">
        <is>
          <t>IN</t>
        </is>
      </c>
      <c r="E25" s="9" t="inlineStr">
        <is>
          <t>5V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DATABOX J1</t>
        </is>
      </c>
      <c r="B26" s="9" t="inlineStr">
        <is>
          <t>T</t>
        </is>
      </c>
      <c r="C26" s="9" t="inlineStr">
        <is>
          <t>SUSP_RIGHT_GROUND</t>
        </is>
      </c>
      <c r="D26" s="9" t="inlineStr">
        <is>
          <t>OUT</t>
        </is>
      </c>
      <c r="E26" s="9" t="inlineStr">
        <is>
          <t>0V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DATABOX J1</t>
        </is>
      </c>
      <c r="B27" s="9" t="inlineStr">
        <is>
          <t>U</t>
        </is>
      </c>
      <c r="C27" s="9" t="n"/>
      <c r="D27" s="9" t="n"/>
      <c r="E27" s="9" t="n"/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DATABOX J1</t>
        </is>
      </c>
      <c r="B28" s="9" t="inlineStr">
        <is>
          <t>V</t>
        </is>
      </c>
      <c r="C28" s="9" t="n"/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DATABOX J1</t>
        </is>
      </c>
      <c r="B29" s="9" t="inlineStr">
        <is>
          <t>W</t>
        </is>
      </c>
      <c r="C29" s="9" t="inlineStr">
        <is>
          <t>Ready to Drive Signal</t>
        </is>
      </c>
      <c r="D29" s="9" t="inlineStr">
        <is>
          <t>IN</t>
        </is>
      </c>
      <c r="E29" s="9" t="inlineStr">
        <is>
          <t>24V</t>
        </is>
      </c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DATABOX J1</t>
        </is>
      </c>
      <c r="B30" s="9" t="inlineStr">
        <is>
          <t>X</t>
        </is>
      </c>
      <c r="C30" s="9" t="inlineStr">
        <is>
          <t>Inertia</t>
        </is>
      </c>
      <c r="D30" s="9" t="inlineStr">
        <is>
          <t>IN</t>
        </is>
      </c>
      <c r="E30" s="9" t="inlineStr">
        <is>
          <t>24V</t>
        </is>
      </c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DATABOX J1</t>
        </is>
      </c>
      <c r="B31" s="9" t="inlineStr">
        <is>
          <t>Y</t>
        </is>
      </c>
      <c r="C31" s="9" t="inlineStr">
        <is>
          <t>Ignition Signal</t>
        </is>
      </c>
      <c r="D31" s="9" t="inlineStr">
        <is>
          <t>IN</t>
        </is>
      </c>
      <c r="E31" s="9" t="inlineStr">
        <is>
          <t>24V</t>
        </is>
      </c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DATABOX J1</t>
        </is>
      </c>
      <c r="B32" s="9" t="inlineStr">
        <is>
          <t>Z</t>
        </is>
      </c>
      <c r="C32" s="9" t="inlineStr">
        <is>
          <t>Emergency Button</t>
        </is>
      </c>
      <c r="D32" s="9" t="inlineStr">
        <is>
          <t>IN</t>
        </is>
      </c>
      <c r="E32" s="9" t="inlineStr">
        <is>
          <t>24V</t>
        </is>
      </c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DATABOX J1</t>
        </is>
      </c>
      <c r="B33" s="9" t="inlineStr">
        <is>
          <t>a</t>
        </is>
      </c>
      <c r="C33" s="9" t="inlineStr">
        <is>
          <t>Ignition_Supply</t>
        </is>
      </c>
      <c r="D33" s="9" t="inlineStr">
        <is>
          <t>OUT</t>
        </is>
      </c>
      <c r="E33" s="9" t="inlineStr">
        <is>
          <t>24V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DATABOX J1</t>
        </is>
      </c>
      <c r="B34" s="9" t="inlineStr">
        <is>
          <t>b</t>
        </is>
      </c>
      <c r="C34" s="9" t="inlineStr">
        <is>
          <t>R2D-Supply</t>
        </is>
      </c>
      <c r="D34" s="9" t="inlineStr">
        <is>
          <t>OUT</t>
        </is>
      </c>
      <c r="E34" s="9" t="inlineStr">
        <is>
          <t>24V</t>
        </is>
      </c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DATABOX J1</t>
        </is>
      </c>
      <c r="B35" s="9" t="inlineStr">
        <is>
          <t>c</t>
        </is>
      </c>
      <c r="C35" s="9" t="inlineStr">
        <is>
          <t>R2D_LED_Supply</t>
        </is>
      </c>
      <c r="D35" s="9" t="inlineStr">
        <is>
          <t>OUT</t>
        </is>
      </c>
      <c r="E35" s="9" t="inlineStr">
        <is>
          <t>24V</t>
        </is>
      </c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DATABOX J1</t>
        </is>
      </c>
      <c r="B36" s="9" t="inlineStr">
        <is>
          <t>d</t>
        </is>
      </c>
      <c r="C36" s="9" t="inlineStr">
        <is>
          <t>TS_ON_LED_Signal</t>
        </is>
      </c>
      <c r="D36" s="9" t="inlineStr">
        <is>
          <t>OUT</t>
        </is>
      </c>
      <c r="E36" s="9" t="inlineStr">
        <is>
          <t>3.3V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DATABOX J1</t>
        </is>
      </c>
      <c r="B37" s="9" t="inlineStr">
        <is>
          <t>e</t>
        </is>
      </c>
      <c r="C37" s="9" t="inlineStr">
        <is>
          <t>LEDS_GND</t>
        </is>
      </c>
      <c r="D37" s="9" t="inlineStr">
        <is>
          <t>IN</t>
        </is>
      </c>
      <c r="E37" s="9" t="inlineStr">
        <is>
          <t>0V</t>
        </is>
      </c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DATABOX J1</t>
        </is>
      </c>
      <c r="B38" s="9" t="inlineStr">
        <is>
          <t>f</t>
        </is>
      </c>
      <c r="C38" s="9" t="inlineStr">
        <is>
          <t>LED_STRIP_Power</t>
        </is>
      </c>
      <c r="D38" s="9" t="n"/>
      <c r="E38" s="9" t="inlineStr">
        <is>
          <t>5V</t>
        </is>
      </c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DATABOX J1</t>
        </is>
      </c>
      <c r="B39" s="9" t="inlineStr">
        <is>
          <t>g</t>
        </is>
      </c>
      <c r="C39" s="9" t="inlineStr">
        <is>
          <t>LED PWM</t>
        </is>
      </c>
      <c r="D39" s="9" t="n"/>
      <c r="E39" s="9" t="inlineStr">
        <is>
          <t>3.3V</t>
        </is>
      </c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DATABOX J1</t>
        </is>
      </c>
      <c r="B40" s="9" t="inlineStr">
        <is>
          <t>h</t>
        </is>
      </c>
      <c r="C40" s="9" t="inlineStr">
        <is>
          <t>LED_STRIP_GND</t>
        </is>
      </c>
      <c r="D40" s="9" t="n"/>
      <c r="E40" s="9" t="n"/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DATABOX J1</t>
        </is>
      </c>
      <c r="B41" s="9" t="inlineStr">
        <is>
          <t>j</t>
        </is>
      </c>
      <c r="C41" s="9" t="n"/>
      <c r="D41" s="9" t="n"/>
      <c r="E41" s="9" t="n"/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RASPBOX J1</t>
        </is>
      </c>
      <c r="B42" s="9" t="inlineStr">
        <is>
          <t>A</t>
        </is>
      </c>
      <c r="C42" s="9" t="inlineStr">
        <is>
          <t>RaspBerry Supply</t>
        </is>
      </c>
      <c r="D42" s="9" t="inlineStr">
        <is>
          <t>OUT</t>
        </is>
      </c>
      <c r="E42" s="9" t="inlineStr">
        <is>
          <t>24V</t>
        </is>
      </c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RASPBOX J1</t>
        </is>
      </c>
      <c r="B43" s="9" t="inlineStr">
        <is>
          <t>B</t>
        </is>
      </c>
      <c r="C43" s="9" t="inlineStr">
        <is>
          <t>RaspBerry GND</t>
        </is>
      </c>
      <c r="D43" s="9" t="inlineStr">
        <is>
          <t>OUT</t>
        </is>
      </c>
      <c r="E43" s="9" t="inlineStr">
        <is>
          <t>0V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RASPBOX J1</t>
        </is>
      </c>
      <c r="B44" s="9" t="inlineStr">
        <is>
          <t>C</t>
        </is>
      </c>
      <c r="C44" s="9" t="inlineStr">
        <is>
          <t>CAN_PWT_L</t>
        </is>
      </c>
      <c r="D44" s="9" t="inlineStr">
        <is>
          <t>BIDIR</t>
        </is>
      </c>
      <c r="E44" s="9" t="inlineStr">
        <is>
          <t>5V</t>
        </is>
      </c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RASPBOX J1</t>
        </is>
      </c>
      <c r="B45" s="9" t="inlineStr">
        <is>
          <t>D</t>
        </is>
      </c>
      <c r="C45" s="9" t="inlineStr">
        <is>
          <t>CAN_PWT_H</t>
        </is>
      </c>
      <c r="D45" s="9" t="inlineStr">
        <is>
          <t>BIDIR</t>
        </is>
      </c>
      <c r="E45" s="9" t="inlineStr">
        <is>
          <t>5V</t>
        </is>
      </c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RASPBOX J1</t>
        </is>
      </c>
      <c r="B46" s="9" t="inlineStr">
        <is>
          <t>E</t>
        </is>
      </c>
      <c r="C46" s="9" t="inlineStr">
        <is>
          <t>CAN_Data_L</t>
        </is>
      </c>
      <c r="D46" s="9" t="inlineStr">
        <is>
          <t>BIDIR</t>
        </is>
      </c>
      <c r="E46" s="9" t="inlineStr">
        <is>
          <t>5V</t>
        </is>
      </c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RASPBOX J1</t>
        </is>
      </c>
      <c r="B47" s="9" t="inlineStr">
        <is>
          <t>F</t>
        </is>
      </c>
      <c r="C47" s="9" t="inlineStr">
        <is>
          <t>CAN_Data_H</t>
        </is>
      </c>
      <c r="D47" s="9" t="inlineStr">
        <is>
          <t>BIDIR</t>
        </is>
      </c>
      <c r="E47" s="9" t="inlineStr">
        <is>
          <t>5V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RASPBOX J1</t>
        </is>
      </c>
      <c r="B48" s="9" t="inlineStr">
        <is>
          <t>G</t>
        </is>
      </c>
      <c r="C48" s="9" t="inlineStr">
        <is>
          <t>LED_STRIP_Power</t>
        </is>
      </c>
      <c r="D48" s="9" t="inlineStr">
        <is>
          <t>IN</t>
        </is>
      </c>
      <c r="E48" s="9" t="inlineStr">
        <is>
          <t>5V</t>
        </is>
      </c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RASPBOX J1</t>
        </is>
      </c>
      <c r="B49" s="9" t="inlineStr">
        <is>
          <t>H</t>
        </is>
      </c>
      <c r="C49" s="9" t="inlineStr">
        <is>
          <t>LED_STRIP_Data</t>
        </is>
      </c>
      <c r="D49" s="9" t="inlineStr">
        <is>
          <t>IN</t>
        </is>
      </c>
      <c r="E49" s="9" t="inlineStr">
        <is>
          <t>3.3V</t>
        </is>
      </c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RASPBOX J1</t>
        </is>
      </c>
      <c r="B50" s="9" t="inlineStr">
        <is>
          <t>J</t>
        </is>
      </c>
      <c r="C50" s="9" t="inlineStr">
        <is>
          <t>LED_STRIP_GND</t>
        </is>
      </c>
      <c r="D50" s="9" t="inlineStr">
        <is>
          <t>IN</t>
        </is>
      </c>
      <c r="E50" s="9" t="inlineStr">
        <is>
          <t>0V</t>
        </is>
      </c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RASPBOX J1</t>
        </is>
      </c>
      <c r="B51" s="9" t="inlineStr">
        <is>
          <t>K</t>
        </is>
      </c>
      <c r="C51" s="9" t="n"/>
      <c r="D51" s="9" t="n"/>
      <c r="E51" s="9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RASPBOX J1</t>
        </is>
      </c>
      <c r="B52" s="9" t="inlineStr">
        <is>
          <t>L</t>
        </is>
      </c>
      <c r="C52" s="9" t="n"/>
      <c r="D52" s="9" t="n"/>
      <c r="E52" s="9" t="n"/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RASPBOX J1</t>
        </is>
      </c>
      <c r="B53" s="9" t="inlineStr">
        <is>
          <t>M</t>
        </is>
      </c>
      <c r="C53" s="9" t="n"/>
      <c r="D53" s="9" t="n"/>
      <c r="E53" s="9" t="n"/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RASPBOX J1</t>
        </is>
      </c>
      <c r="B54" s="9" t="inlineStr">
        <is>
          <t>N</t>
        </is>
      </c>
      <c r="C54" s="9" t="n"/>
      <c r="D54" s="9" t="n"/>
      <c r="E54" s="9" t="n"/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RASPBOX J1</t>
        </is>
      </c>
      <c r="B55" s="9" t="inlineStr">
        <is>
          <t>P</t>
        </is>
      </c>
      <c r="C55" s="9" t="n"/>
      <c r="D55" s="9" t="n"/>
      <c r="E55" s="9" t="n"/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RASPBOX J1</t>
        </is>
      </c>
      <c r="B56" s="9" t="inlineStr">
        <is>
          <t>R</t>
        </is>
      </c>
      <c r="C56" s="9" t="n"/>
      <c r="D56" s="9" t="n"/>
      <c r="E56" s="9" t="n"/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RASPBOX J1</t>
        </is>
      </c>
      <c r="B57" s="9" t="inlineStr">
        <is>
          <t>S</t>
        </is>
      </c>
      <c r="C57" s="9" t="n"/>
      <c r="D57" s="9" t="n"/>
      <c r="E57" s="9" t="n"/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RASPBOX J1</t>
        </is>
      </c>
      <c r="B58" s="9" t="inlineStr">
        <is>
          <t>T</t>
        </is>
      </c>
      <c r="C58" s="9" t="n"/>
      <c r="D58" s="9" t="n"/>
      <c r="E58" s="9" t="n"/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RASPBOX J1</t>
        </is>
      </c>
      <c r="B59" s="9" t="inlineStr">
        <is>
          <t>U</t>
        </is>
      </c>
      <c r="C59" s="9" t="n"/>
      <c r="D59" s="9" t="n"/>
      <c r="E59" s="9" t="n"/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RASPBOX J1</t>
        </is>
      </c>
      <c r="B60" s="9" t="inlineStr">
        <is>
          <t>V</t>
        </is>
      </c>
      <c r="C60" s="9" t="n"/>
      <c r="D60" s="9" t="n"/>
      <c r="E60" s="9" t="n"/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RASPBOX J1</t>
        </is>
      </c>
      <c r="B61" s="9" t="inlineStr">
        <is>
          <t>W</t>
        </is>
      </c>
      <c r="C61" s="9" t="inlineStr">
        <is>
          <t>Encoder A Supply</t>
        </is>
      </c>
      <c r="D61" s="9" t="inlineStr">
        <is>
          <t>IN</t>
        </is>
      </c>
      <c r="E61" s="9" t="inlineStr">
        <is>
          <t>5V</t>
        </is>
      </c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  <row r="62">
      <c r="A62" s="9" t="inlineStr">
        <is>
          <t>RASPBOX J1</t>
        </is>
      </c>
      <c r="B62" s="9" t="inlineStr">
        <is>
          <t>X</t>
        </is>
      </c>
      <c r="C62" s="9" t="inlineStr">
        <is>
          <t>Encoder A Data</t>
        </is>
      </c>
      <c r="D62" s="9" t="inlineStr">
        <is>
          <t>OUT</t>
        </is>
      </c>
      <c r="E62" s="9" t="inlineStr">
        <is>
          <t>5V</t>
        </is>
      </c>
      <c r="F62" s="11">
        <f>IF(N62="","",INDEX(Wires!$A$2:$A$1000,N62))</f>
        <v/>
      </c>
      <c r="G62" s="11">
        <f>IF(N62="","",INDEX(Wires!$C$2:$C$1000,N62))</f>
        <v/>
      </c>
      <c r="H62" s="11">
        <f>IF(N62="","",IF(O62="from",INDEX(Wires!$F$2:$F$1000,N62)&amp;":"&amp;INDEX(Wires!$G$2:$G$1000,N62),INDEX(Wires!$D$2:$D$1000,N62)&amp;":"&amp;INDEX(Wires!$E$2:$E$1000,N62)))</f>
        <v/>
      </c>
      <c r="I62" s="11">
        <f>IF(N62="","",INDEX(Wires!$H$2:$H$1000,N62)&amp;"")</f>
        <v/>
      </c>
      <c r="J62" s="11">
        <f>IF(N62="","",IF(INDEX(Wires!$I$2:$I$1000,N62)="","",INDEX(Wires!$I$2:$I$1000,N62)))</f>
        <v/>
      </c>
      <c r="K62" s="11">
        <f>COUNTIF(Wires!$W$2:$W$1000,M62)+COUNTIF(Wires!$X$2:$X$1000,M62)</f>
        <v/>
      </c>
      <c r="L62" s="11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1">
        <f>A62&amp;":"&amp;B62&amp;IF(EXACT(B62,UPPER(B62)),"","|lc")</f>
        <v/>
      </c>
      <c r="N62" s="11">
        <f>IFERROR(MATCH(M62,Wires!$W$2:$W$1000,0),IFERROR(MATCH(M62,Wires!$X$2:$X$1000,0),""))</f>
        <v/>
      </c>
      <c r="O62" s="11">
        <f>IF(N62="","",IF(ISNUMBER(MATCH(M62,Wires!$W$2:$W$1000,0)),"from","to"))</f>
        <v/>
      </c>
    </row>
    <row r="63">
      <c r="A63" s="9" t="inlineStr">
        <is>
          <t>RASPBOX J1</t>
        </is>
      </c>
      <c r="B63" s="9" t="inlineStr">
        <is>
          <t>Y</t>
        </is>
      </c>
      <c r="C63" s="9" t="inlineStr">
        <is>
          <t>Encoder A CLK</t>
        </is>
      </c>
      <c r="D63" s="9" t="inlineStr">
        <is>
          <t>OUT</t>
        </is>
      </c>
      <c r="E63" s="9" t="inlineStr">
        <is>
          <t>5V</t>
        </is>
      </c>
      <c r="F63" s="11">
        <f>IF(N63="","",INDEX(Wires!$A$2:$A$1000,N63))</f>
        <v/>
      </c>
      <c r="G63" s="11">
        <f>IF(N63="","",INDEX(Wires!$C$2:$C$1000,N63))</f>
        <v/>
      </c>
      <c r="H63" s="11">
        <f>IF(N63="","",IF(O63="from",INDEX(Wires!$F$2:$F$1000,N63)&amp;":"&amp;INDEX(Wires!$G$2:$G$1000,N63),INDEX(Wires!$D$2:$D$1000,N63)&amp;":"&amp;INDEX(Wires!$E$2:$E$1000,N63)))</f>
        <v/>
      </c>
      <c r="I63" s="11">
        <f>IF(N63="","",INDEX(Wires!$H$2:$H$1000,N63)&amp;"")</f>
        <v/>
      </c>
      <c r="J63" s="11">
        <f>IF(N63="","",IF(INDEX(Wires!$I$2:$I$1000,N63)="","",INDEX(Wires!$I$2:$I$1000,N63)))</f>
        <v/>
      </c>
      <c r="K63" s="11">
        <f>COUNTIF(Wires!$W$2:$W$1000,M63)+COUNTIF(Wires!$X$2:$X$1000,M63)</f>
        <v/>
      </c>
      <c r="L63" s="11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1">
        <f>A63&amp;":"&amp;B63&amp;IF(EXACT(B63,UPPER(B63)),"","|lc")</f>
        <v/>
      </c>
      <c r="N63" s="11">
        <f>IFERROR(MATCH(M63,Wires!$W$2:$W$1000,0),IFERROR(MATCH(M63,Wires!$X$2:$X$1000,0),""))</f>
        <v/>
      </c>
      <c r="O63" s="11">
        <f>IF(N63="","",IF(ISNUMBER(MATCH(M63,Wires!$W$2:$W$1000,0)),"from","to"))</f>
        <v/>
      </c>
    </row>
    <row r="64">
      <c r="A64" s="9" t="inlineStr">
        <is>
          <t>RASPBOX J1</t>
        </is>
      </c>
      <c r="B64" s="9" t="inlineStr">
        <is>
          <t>Z</t>
        </is>
      </c>
      <c r="C64" s="9" t="inlineStr">
        <is>
          <t>Encoder A GND</t>
        </is>
      </c>
      <c r="D64" s="9" t="inlineStr">
        <is>
          <t>IN</t>
        </is>
      </c>
      <c r="E64" s="9" t="inlineStr">
        <is>
          <t>0V</t>
        </is>
      </c>
      <c r="F64" s="11">
        <f>IF(N64="","",INDEX(Wires!$A$2:$A$1000,N64))</f>
        <v/>
      </c>
      <c r="G64" s="11">
        <f>IF(N64="","",INDEX(Wires!$C$2:$C$1000,N64))</f>
        <v/>
      </c>
      <c r="H64" s="11">
        <f>IF(N64="","",IF(O64="from",INDEX(Wires!$F$2:$F$1000,N64)&amp;":"&amp;INDEX(Wires!$G$2:$G$1000,N64),INDEX(Wires!$D$2:$D$1000,N64)&amp;":"&amp;INDEX(Wires!$E$2:$E$1000,N64)))</f>
        <v/>
      </c>
      <c r="I64" s="11">
        <f>IF(N64="","",INDEX(Wires!$H$2:$H$1000,N64)&amp;"")</f>
        <v/>
      </c>
      <c r="J64" s="11">
        <f>IF(N64="","",IF(INDEX(Wires!$I$2:$I$1000,N64)="","",INDEX(Wires!$I$2:$I$1000,N64)))</f>
        <v/>
      </c>
      <c r="K64" s="11">
        <f>COUNTIF(Wires!$W$2:$W$1000,M64)+COUNTIF(Wires!$X$2:$X$1000,M64)</f>
        <v/>
      </c>
      <c r="L64" s="11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1">
        <f>A64&amp;":"&amp;B64&amp;IF(EXACT(B64,UPPER(B64)),"","|lc")</f>
        <v/>
      </c>
      <c r="N64" s="11">
        <f>IFERROR(MATCH(M64,Wires!$W$2:$W$1000,0),IFERROR(MATCH(M64,Wires!$X$2:$X$1000,0),""))</f>
        <v/>
      </c>
      <c r="O64" s="11">
        <f>IF(N64="","",IF(ISNUMBER(MATCH(M64,Wires!$W$2:$W$1000,0)),"from","to"))</f>
        <v/>
      </c>
    </row>
    <row r="65">
      <c r="A65" s="9" t="inlineStr">
        <is>
          <t>RASPBOX J1</t>
        </is>
      </c>
      <c r="B65" s="9" t="inlineStr">
        <is>
          <t>a</t>
        </is>
      </c>
      <c r="C65" s="9" t="inlineStr">
        <is>
          <t>Encoder B Supply</t>
        </is>
      </c>
      <c r="D65" s="9" t="inlineStr">
        <is>
          <t>IN</t>
        </is>
      </c>
      <c r="E65" s="9" t="inlineStr">
        <is>
          <t>5V</t>
        </is>
      </c>
      <c r="F65" s="11">
        <f>IF(N65="","",INDEX(Wires!$A$2:$A$1000,N65))</f>
        <v/>
      </c>
      <c r="G65" s="11">
        <f>IF(N65="","",INDEX(Wires!$C$2:$C$1000,N65))</f>
        <v/>
      </c>
      <c r="H65" s="11">
        <f>IF(N65="","",IF(O65="from",INDEX(Wires!$F$2:$F$1000,N65)&amp;":"&amp;INDEX(Wires!$G$2:$G$1000,N65),INDEX(Wires!$D$2:$D$1000,N65)&amp;":"&amp;INDEX(Wires!$E$2:$E$1000,N65)))</f>
        <v/>
      </c>
      <c r="I65" s="11">
        <f>IF(N65="","",INDEX(Wires!$H$2:$H$1000,N65)&amp;"")</f>
        <v/>
      </c>
      <c r="J65" s="11">
        <f>IF(N65="","",IF(INDEX(Wires!$I$2:$I$1000,N65)="","",INDEX(Wires!$I$2:$I$1000,N65)))</f>
        <v/>
      </c>
      <c r="K65" s="11">
        <f>COUNTIF(Wires!$W$2:$W$1000,M65)+COUNTIF(Wires!$X$2:$X$1000,M65)</f>
        <v/>
      </c>
      <c r="L65" s="11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1">
        <f>A65&amp;":"&amp;B65&amp;IF(EXACT(B65,UPPER(B65)),"","|lc")</f>
        <v/>
      </c>
      <c r="N65" s="11">
        <f>IFERROR(MATCH(M65,Wires!$W$2:$W$1000,0),IFERROR(MATCH(M65,Wires!$X$2:$X$1000,0),""))</f>
        <v/>
      </c>
      <c r="O65" s="11">
        <f>IF(N65="","",IF(ISNUMBER(MATCH(M65,Wires!$W$2:$W$1000,0)),"from","to"))</f>
        <v/>
      </c>
    </row>
    <row r="66">
      <c r="A66" s="9" t="inlineStr">
        <is>
          <t>RASPBOX J1</t>
        </is>
      </c>
      <c r="B66" s="9" t="inlineStr">
        <is>
          <t>b</t>
        </is>
      </c>
      <c r="C66" s="9" t="inlineStr">
        <is>
          <t>Encoder B Data</t>
        </is>
      </c>
      <c r="D66" s="9" t="inlineStr">
        <is>
          <t>OUT</t>
        </is>
      </c>
      <c r="E66" s="9" t="inlineStr">
        <is>
          <t>5V</t>
        </is>
      </c>
      <c r="F66" s="11">
        <f>IF(N66="","",INDEX(Wires!$A$2:$A$1000,N66))</f>
        <v/>
      </c>
      <c r="G66" s="11">
        <f>IF(N66="","",INDEX(Wires!$C$2:$C$1000,N66))</f>
        <v/>
      </c>
      <c r="H66" s="11">
        <f>IF(N66="","",IF(O66="from",INDEX(Wires!$F$2:$F$1000,N66)&amp;":"&amp;INDEX(Wires!$G$2:$G$1000,N66),INDEX(Wires!$D$2:$D$1000,N66)&amp;":"&amp;INDEX(Wires!$E$2:$E$1000,N66)))</f>
        <v/>
      </c>
      <c r="I66" s="11">
        <f>IF(N66="","",INDEX(Wires!$H$2:$H$1000,N66)&amp;"")</f>
        <v/>
      </c>
      <c r="J66" s="11">
        <f>IF(N66="","",IF(INDEX(Wires!$I$2:$I$1000,N66)="","",INDEX(Wires!$I$2:$I$1000,N66)))</f>
        <v/>
      </c>
      <c r="K66" s="11">
        <f>COUNTIF(Wires!$W$2:$W$1000,M66)+COUNTIF(Wires!$X$2:$X$1000,M66)</f>
        <v/>
      </c>
      <c r="L66" s="11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1">
        <f>A66&amp;":"&amp;B66&amp;IF(EXACT(B66,UPPER(B66)),"","|lc")</f>
        <v/>
      </c>
      <c r="N66" s="11">
        <f>IFERROR(MATCH(M66,Wires!$W$2:$W$1000,0),IFERROR(MATCH(M66,Wires!$X$2:$X$1000,0),""))</f>
        <v/>
      </c>
      <c r="O66" s="11">
        <f>IF(N66="","",IF(ISNUMBER(MATCH(M66,Wires!$W$2:$W$1000,0)),"from","to"))</f>
        <v/>
      </c>
    </row>
    <row r="67">
      <c r="A67" s="9" t="inlineStr">
        <is>
          <t>RASPBOX J1</t>
        </is>
      </c>
      <c r="B67" s="9" t="inlineStr">
        <is>
          <t>c</t>
        </is>
      </c>
      <c r="C67" s="9" t="inlineStr">
        <is>
          <t>Encoder B CLK</t>
        </is>
      </c>
      <c r="D67" s="9" t="inlineStr">
        <is>
          <t>OUT</t>
        </is>
      </c>
      <c r="E67" s="9" t="inlineStr">
        <is>
          <t>5V</t>
        </is>
      </c>
      <c r="F67" s="11">
        <f>IF(N67="","",INDEX(Wires!$A$2:$A$1000,N67))</f>
        <v/>
      </c>
      <c r="G67" s="11">
        <f>IF(N67="","",INDEX(Wires!$C$2:$C$1000,N67))</f>
        <v/>
      </c>
      <c r="H67" s="11">
        <f>IF(N67="","",IF(O67="from",INDEX(Wires!$F$2:$F$1000,N67)&amp;":"&amp;INDEX(Wires!$G$2:$G$1000,N67),INDEX(Wires!$D$2:$D$1000,N67)&amp;":"&amp;INDEX(Wires!$E$2:$E$1000,N67)))</f>
        <v/>
      </c>
      <c r="I67" s="11">
        <f>IF(N67="","",INDEX(Wires!$H$2:$H$1000,N67)&amp;"")</f>
        <v/>
      </c>
      <c r="J67" s="11">
        <f>IF(N67="","",IF(INDEX(Wires!$I$2:$I$1000,N67)="","",INDEX(Wires!$I$2:$I$1000,N67)))</f>
        <v/>
      </c>
      <c r="K67" s="11">
        <f>COUNTIF(Wires!$W$2:$W$1000,M67)+COUNTIF(Wires!$X$2:$X$1000,M67)</f>
        <v/>
      </c>
      <c r="L67" s="11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1">
        <f>A67&amp;":"&amp;B67&amp;IF(EXACT(B67,UPPER(B67)),"","|lc")</f>
        <v/>
      </c>
      <c r="N67" s="11">
        <f>IFERROR(MATCH(M67,Wires!$W$2:$W$1000,0),IFERROR(MATCH(M67,Wires!$X$2:$X$1000,0),""))</f>
        <v/>
      </c>
      <c r="O67" s="11">
        <f>IF(N67="","",IF(ISNUMBER(MATCH(M67,Wires!$W$2:$W$1000,0)),"from","to"))</f>
        <v/>
      </c>
    </row>
    <row r="68">
      <c r="A68" s="9" t="inlineStr">
        <is>
          <t>RASPBOX J1</t>
        </is>
      </c>
      <c r="B68" s="9" t="inlineStr">
        <is>
          <t>d</t>
        </is>
      </c>
      <c r="C68" s="9" t="inlineStr">
        <is>
          <t>Encoder B GND</t>
        </is>
      </c>
      <c r="D68" s="9" t="inlineStr">
        <is>
          <t>IN</t>
        </is>
      </c>
      <c r="E68" s="9" t="inlineStr">
        <is>
          <t>0V</t>
        </is>
      </c>
      <c r="F68" s="11">
        <f>IF(N68="","",INDEX(Wires!$A$2:$A$1000,N68))</f>
        <v/>
      </c>
      <c r="G68" s="11">
        <f>IF(N68="","",INDEX(Wires!$C$2:$C$1000,N68))</f>
        <v/>
      </c>
      <c r="H68" s="11">
        <f>IF(N68="","",IF(O68="from",INDEX(Wires!$F$2:$F$1000,N68)&amp;":"&amp;INDEX(Wires!$G$2:$G$1000,N68),INDEX(Wires!$D$2:$D$1000,N68)&amp;":"&amp;INDEX(Wires!$E$2:$E$1000,N68)))</f>
        <v/>
      </c>
      <c r="I68" s="11">
        <f>IF(N68="","",INDEX(Wires!$H$2:$H$1000,N68)&amp;"")</f>
        <v/>
      </c>
      <c r="J68" s="11">
        <f>IF(N68="","",IF(INDEX(Wires!$I$2:$I$1000,N68)="","",INDEX(Wires!$I$2:$I$1000,N68)))</f>
        <v/>
      </c>
      <c r="K68" s="11">
        <f>COUNTIF(Wires!$W$2:$W$1000,M68)+COUNTIF(Wires!$X$2:$X$1000,M68)</f>
        <v/>
      </c>
      <c r="L68" s="11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1">
        <f>A68&amp;":"&amp;B68&amp;IF(EXACT(B68,UPPER(B68)),"","|lc")</f>
        <v/>
      </c>
      <c r="N68" s="11">
        <f>IFERROR(MATCH(M68,Wires!$W$2:$W$1000,0),IFERROR(MATCH(M68,Wires!$X$2:$X$1000,0),""))</f>
        <v/>
      </c>
      <c r="O68" s="11">
        <f>IF(N68="","",IF(ISNUMBER(MATCH(M68,Wires!$W$2:$W$1000,0)),"from","to"))</f>
        <v/>
      </c>
    </row>
    <row r="69">
      <c r="A69" s="9" t="inlineStr">
        <is>
          <t>RASPBOX J1</t>
        </is>
      </c>
      <c r="B69" s="9" t="inlineStr">
        <is>
          <t>e</t>
        </is>
      </c>
      <c r="C69" s="9" t="inlineStr">
        <is>
          <t>Buttons_Power</t>
        </is>
      </c>
      <c r="D69" s="9" t="inlineStr">
        <is>
          <t>OUT</t>
        </is>
      </c>
      <c r="E69" s="9" t="inlineStr">
        <is>
          <t>3.3V</t>
        </is>
      </c>
      <c r="F69" s="11">
        <f>IF(N69="","",INDEX(Wires!$A$2:$A$1000,N69))</f>
        <v/>
      </c>
      <c r="G69" s="11">
        <f>IF(N69="","",INDEX(Wires!$C$2:$C$1000,N69))</f>
        <v/>
      </c>
      <c r="H69" s="11">
        <f>IF(N69="","",IF(O69="from",INDEX(Wires!$F$2:$F$1000,N69)&amp;":"&amp;INDEX(Wires!$G$2:$G$1000,N69),INDEX(Wires!$D$2:$D$1000,N69)&amp;":"&amp;INDEX(Wires!$E$2:$E$1000,N69)))</f>
        <v/>
      </c>
      <c r="I69" s="11">
        <f>IF(N69="","",INDEX(Wires!$H$2:$H$1000,N69)&amp;"")</f>
        <v/>
      </c>
      <c r="J69" s="11">
        <f>IF(N69="","",IF(INDEX(Wires!$I$2:$I$1000,N69)="","",INDEX(Wires!$I$2:$I$1000,N69)))</f>
        <v/>
      </c>
      <c r="K69" s="11">
        <f>COUNTIF(Wires!$W$2:$W$1000,M69)+COUNTIF(Wires!$X$2:$X$1000,M69)</f>
        <v/>
      </c>
      <c r="L69" s="11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1">
        <f>A69&amp;":"&amp;B69&amp;IF(EXACT(B69,UPPER(B69)),"","|lc")</f>
        <v/>
      </c>
      <c r="N69" s="11">
        <f>IFERROR(MATCH(M69,Wires!$W$2:$W$1000,0),IFERROR(MATCH(M69,Wires!$X$2:$X$1000,0),""))</f>
        <v/>
      </c>
      <c r="O69" s="11">
        <f>IF(N69="","",IF(ISNUMBER(MATCH(M69,Wires!$W$2:$W$1000,0)),"from","to"))</f>
        <v/>
      </c>
    </row>
    <row r="70">
      <c r="A70" s="9" t="inlineStr">
        <is>
          <t>RASPBOX J1</t>
        </is>
      </c>
      <c r="B70" s="9" t="inlineStr">
        <is>
          <t>f</t>
        </is>
      </c>
      <c r="C70" s="9" t="inlineStr">
        <is>
          <t>Button OK</t>
        </is>
      </c>
      <c r="D70" s="9" t="inlineStr">
        <is>
          <t>OUT</t>
        </is>
      </c>
      <c r="E70" s="9" t="inlineStr">
        <is>
          <t>3.3V</t>
        </is>
      </c>
      <c r="F70" s="11">
        <f>IF(N70="","",INDEX(Wires!$A$2:$A$1000,N70))</f>
        <v/>
      </c>
      <c r="G70" s="11">
        <f>IF(N70="","",INDEX(Wires!$C$2:$C$1000,N70))</f>
        <v/>
      </c>
      <c r="H70" s="11">
        <f>IF(N70="","",IF(O70="from",INDEX(Wires!$F$2:$F$1000,N70)&amp;":"&amp;INDEX(Wires!$G$2:$G$1000,N70),INDEX(Wires!$D$2:$D$1000,N70)&amp;":"&amp;INDEX(Wires!$E$2:$E$1000,N70)))</f>
        <v/>
      </c>
      <c r="I70" s="11">
        <f>IF(N70="","",INDEX(Wires!$H$2:$H$1000,N70)&amp;"")</f>
        <v/>
      </c>
      <c r="J70" s="11">
        <f>IF(N70="","",IF(INDEX(Wires!$I$2:$I$1000,N70)="","",INDEX(Wires!$I$2:$I$1000,N70)))</f>
        <v/>
      </c>
      <c r="K70" s="11">
        <f>COUNTIF(Wires!$W$2:$W$1000,M70)+COUNTIF(Wires!$X$2:$X$1000,M70)</f>
        <v/>
      </c>
      <c r="L70" s="11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1">
        <f>A70&amp;":"&amp;B70&amp;IF(EXACT(B70,UPPER(B70)),"","|lc")</f>
        <v/>
      </c>
      <c r="N70" s="11">
        <f>IFERROR(MATCH(M70,Wires!$W$2:$W$1000,0),IFERROR(MATCH(M70,Wires!$X$2:$X$1000,0),""))</f>
        <v/>
      </c>
      <c r="O70" s="11">
        <f>IF(N70="","",IF(ISNUMBER(MATCH(M70,Wires!$W$2:$W$1000,0)),"from","to"))</f>
        <v/>
      </c>
    </row>
    <row r="71">
      <c r="A71" s="9" t="inlineStr">
        <is>
          <t>RASPBOX J1</t>
        </is>
      </c>
      <c r="B71" s="9" t="inlineStr">
        <is>
          <t>g</t>
        </is>
      </c>
      <c r="C71" s="9" t="inlineStr">
        <is>
          <t>Button Next_Page</t>
        </is>
      </c>
      <c r="D71" s="9" t="inlineStr">
        <is>
          <t>OUT</t>
        </is>
      </c>
      <c r="E71" s="9" t="inlineStr">
        <is>
          <t>3.3V</t>
        </is>
      </c>
      <c r="F71" s="11">
        <f>IF(N71="","",INDEX(Wires!$A$2:$A$1000,N71))</f>
        <v/>
      </c>
      <c r="G71" s="11">
        <f>IF(N71="","",INDEX(Wires!$C$2:$C$1000,N71))</f>
        <v/>
      </c>
      <c r="H71" s="11">
        <f>IF(N71="","",IF(O71="from",INDEX(Wires!$F$2:$F$1000,N71)&amp;":"&amp;INDEX(Wires!$G$2:$G$1000,N71),INDEX(Wires!$D$2:$D$1000,N71)&amp;":"&amp;INDEX(Wires!$E$2:$E$1000,N71)))</f>
        <v/>
      </c>
      <c r="I71" s="11">
        <f>IF(N71="","",INDEX(Wires!$H$2:$H$1000,N71)&amp;"")</f>
        <v/>
      </c>
      <c r="J71" s="11">
        <f>IF(N71="","",IF(INDEX(Wires!$I$2:$I$1000,N71)="","",INDEX(Wires!$I$2:$I$1000,N71)))</f>
        <v/>
      </c>
      <c r="K71" s="11">
        <f>COUNTIF(Wires!$W$2:$W$1000,M71)+COUNTIF(Wires!$X$2:$X$1000,M71)</f>
        <v/>
      </c>
      <c r="L71" s="11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1">
        <f>A71&amp;":"&amp;B71&amp;IF(EXACT(B71,UPPER(B71)),"","|lc")</f>
        <v/>
      </c>
      <c r="N71" s="11">
        <f>IFERROR(MATCH(M71,Wires!$W$2:$W$1000,0),IFERROR(MATCH(M71,Wires!$X$2:$X$1000,0),""))</f>
        <v/>
      </c>
      <c r="O71" s="11">
        <f>IF(N71="","",IF(ISNUMBER(MATCH(M71,Wires!$W$2:$W$1000,0)),"from","to"))</f>
        <v/>
      </c>
    </row>
    <row r="72">
      <c r="A72" s="9" t="inlineStr">
        <is>
          <t>RASPBOX J1</t>
        </is>
      </c>
      <c r="B72" s="9" t="inlineStr">
        <is>
          <t>h</t>
        </is>
      </c>
      <c r="C72" s="9" t="n"/>
      <c r="D72" s="9" t="n"/>
      <c r="E72" s="9" t="n"/>
      <c r="F72" s="11">
        <f>IF(N72="","",INDEX(Wires!$A$2:$A$1000,N72))</f>
        <v/>
      </c>
      <c r="G72" s="11">
        <f>IF(N72="","",INDEX(Wires!$C$2:$C$1000,N72))</f>
        <v/>
      </c>
      <c r="H72" s="11">
        <f>IF(N72="","",IF(O72="from",INDEX(Wires!$F$2:$F$1000,N72)&amp;":"&amp;INDEX(Wires!$G$2:$G$1000,N72),INDEX(Wires!$D$2:$D$1000,N72)&amp;":"&amp;INDEX(Wires!$E$2:$E$1000,N72)))</f>
        <v/>
      </c>
      <c r="I72" s="11">
        <f>IF(N72="","",INDEX(Wires!$H$2:$H$1000,N72)&amp;"")</f>
        <v/>
      </c>
      <c r="J72" s="11">
        <f>IF(N72="","",IF(INDEX(Wires!$I$2:$I$1000,N72)="","",INDEX(Wires!$I$2:$I$1000,N72)))</f>
        <v/>
      </c>
      <c r="K72" s="11">
        <f>COUNTIF(Wires!$W$2:$W$1000,M72)+COUNTIF(Wires!$X$2:$X$1000,M72)</f>
        <v/>
      </c>
      <c r="L72" s="11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1">
        <f>A72&amp;":"&amp;B72&amp;IF(EXACT(B72,UPPER(B72)),"","|lc")</f>
        <v/>
      </c>
      <c r="N72" s="11">
        <f>IFERROR(MATCH(M72,Wires!$W$2:$W$1000,0),IFERROR(MATCH(M72,Wires!$X$2:$X$1000,0),""))</f>
        <v/>
      </c>
      <c r="O72" s="11">
        <f>IF(N72="","",IF(ISNUMBER(MATCH(M72,Wires!$W$2:$W$1000,0)),"from","to"))</f>
        <v/>
      </c>
    </row>
    <row r="73">
      <c r="A73" s="9" t="inlineStr">
        <is>
          <t>RASPBOX J1</t>
        </is>
      </c>
      <c r="B73" s="9" t="inlineStr">
        <is>
          <t>j</t>
        </is>
      </c>
      <c r="C73" s="9" t="n"/>
      <c r="D73" s="9" t="n"/>
      <c r="E73" s="9" t="n"/>
      <c r="F73" s="11">
        <f>IF(N73="","",INDEX(Wires!$A$2:$A$1000,N73))</f>
        <v/>
      </c>
      <c r="G73" s="11">
        <f>IF(N73="","",INDEX(Wires!$C$2:$C$1000,N73))</f>
        <v/>
      </c>
      <c r="H73" s="11">
        <f>IF(N73="","",IF(O73="from",INDEX(Wires!$F$2:$F$1000,N73)&amp;":"&amp;INDEX(Wires!$G$2:$G$1000,N73),INDEX(Wires!$D$2:$D$1000,N73)&amp;":"&amp;INDEX(Wires!$E$2:$E$1000,N73)))</f>
        <v/>
      </c>
      <c r="I73" s="11">
        <f>IF(N73="","",INDEX(Wires!$H$2:$H$1000,N73)&amp;"")</f>
        <v/>
      </c>
      <c r="J73" s="11">
        <f>IF(N73="","",IF(INDEX(Wires!$I$2:$I$1000,N73)="","",INDEX(Wires!$I$2:$I$1000,N73)))</f>
        <v/>
      </c>
      <c r="K73" s="11">
        <f>COUNTIF(Wires!$W$2:$W$1000,M73)+COUNTIF(Wires!$X$2:$X$1000,M73)</f>
        <v/>
      </c>
      <c r="L73" s="11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1">
        <f>A73&amp;":"&amp;B73&amp;IF(EXACT(B73,UPPER(B73)),"","|lc")</f>
        <v/>
      </c>
      <c r="N73" s="11">
        <f>IFERROR(MATCH(M73,Wires!$W$2:$W$1000,0),IFERROR(MATCH(M73,Wires!$X$2:$X$1000,0),""))</f>
        <v/>
      </c>
      <c r="O73" s="11">
        <f>IF(N73="","",IF(ISNUMBER(MATCH(M73,Wires!$W$2:$W$1000,0)),"from","to"))</f>
        <v/>
      </c>
    </row>
    <row r="74">
      <c r="A74" s="9" t="inlineStr">
        <is>
          <t>AMS LED J1</t>
        </is>
      </c>
      <c r="B74" s="9" t="inlineStr">
        <is>
          <t>1</t>
        </is>
      </c>
      <c r="C74" s="9" t="inlineStr">
        <is>
          <t>AMS_LED_Supply</t>
        </is>
      </c>
      <c r="D74" s="9" t="inlineStr">
        <is>
          <t>IN</t>
        </is>
      </c>
      <c r="E74" s="9" t="inlineStr">
        <is>
          <t>24V</t>
        </is>
      </c>
      <c r="F74" s="11">
        <f>IF(N74="","",INDEX(Wires!$A$2:$A$1000,N74))</f>
        <v/>
      </c>
      <c r="G74" s="11">
        <f>IF(N74="","",INDEX(Wires!$C$2:$C$1000,N74))</f>
        <v/>
      </c>
      <c r="H74" s="11">
        <f>IF(N74="","",IF(O74="from",INDEX(Wires!$F$2:$F$1000,N74)&amp;":"&amp;INDEX(Wires!$G$2:$G$1000,N74),INDEX(Wires!$D$2:$D$1000,N74)&amp;":"&amp;INDEX(Wires!$E$2:$E$1000,N74)))</f>
        <v/>
      </c>
      <c r="I74" s="11">
        <f>IF(N74="","",INDEX(Wires!$H$2:$H$1000,N74)&amp;"")</f>
        <v/>
      </c>
      <c r="J74" s="11">
        <f>IF(N74="","",IF(INDEX(Wires!$I$2:$I$1000,N74)="","",INDEX(Wires!$I$2:$I$1000,N74)))</f>
        <v/>
      </c>
      <c r="K74" s="11">
        <f>COUNTIF(Wires!$W$2:$W$1000,M74)+COUNTIF(Wires!$X$2:$X$1000,M74)</f>
        <v/>
      </c>
      <c r="L74" s="11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1">
        <f>A74&amp;":"&amp;B74&amp;IF(EXACT(B74,UPPER(B74)),"","|lc")</f>
        <v/>
      </c>
      <c r="N74" s="11">
        <f>IFERROR(MATCH(M74,Wires!$W$2:$W$1000,0),IFERROR(MATCH(M74,Wires!$X$2:$X$1000,0),""))</f>
        <v/>
      </c>
      <c r="O74" s="11">
        <f>IF(N74="","",IF(ISNUMBER(MATCH(M74,Wires!$W$2:$W$1000,0)),"from","to"))</f>
        <v/>
      </c>
    </row>
    <row r="75">
      <c r="A75" s="9" t="inlineStr">
        <is>
          <t>AMS LED J1</t>
        </is>
      </c>
      <c r="B75" s="9" t="inlineStr">
        <is>
          <t>2</t>
        </is>
      </c>
      <c r="C75" s="9" t="inlineStr">
        <is>
          <t>AMS_LED_Signal</t>
        </is>
      </c>
      <c r="D75" s="9" t="inlineStr">
        <is>
          <t>OUT</t>
        </is>
      </c>
      <c r="E75" s="9" t="inlineStr">
        <is>
          <t>0V</t>
        </is>
      </c>
      <c r="F75" s="11">
        <f>IF(N75="","",INDEX(Wires!$A$2:$A$1000,N75))</f>
        <v/>
      </c>
      <c r="G75" s="11">
        <f>IF(N75="","",INDEX(Wires!$C$2:$C$1000,N75))</f>
        <v/>
      </c>
      <c r="H75" s="11">
        <f>IF(N75="","",IF(O75="from",INDEX(Wires!$F$2:$F$1000,N75)&amp;":"&amp;INDEX(Wires!$G$2:$G$1000,N75),INDEX(Wires!$D$2:$D$1000,N75)&amp;":"&amp;INDEX(Wires!$E$2:$E$1000,N75)))</f>
        <v/>
      </c>
      <c r="I75" s="11">
        <f>IF(N75="","",INDEX(Wires!$H$2:$H$1000,N75)&amp;"")</f>
        <v/>
      </c>
      <c r="J75" s="11">
        <f>IF(N75="","",IF(INDEX(Wires!$I$2:$I$1000,N75)="","",INDEX(Wires!$I$2:$I$1000,N75)))</f>
        <v/>
      </c>
      <c r="K75" s="11">
        <f>COUNTIF(Wires!$W$2:$W$1000,M75)+COUNTIF(Wires!$X$2:$X$1000,M75)</f>
        <v/>
      </c>
      <c r="L75" s="11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1">
        <f>A75&amp;":"&amp;B75&amp;IF(EXACT(B75,UPPER(B75)),"","|lc")</f>
        <v/>
      </c>
      <c r="N75" s="11">
        <f>IFERROR(MATCH(M75,Wires!$W$2:$W$1000,0),IFERROR(MATCH(M75,Wires!$X$2:$X$1000,0),""))</f>
        <v/>
      </c>
      <c r="O75" s="11">
        <f>IF(N75="","",IF(ISNUMBER(MATCH(M75,Wires!$W$2:$W$1000,0)),"from","to"))</f>
        <v/>
      </c>
    </row>
    <row r="76">
      <c r="A76" s="9" t="inlineStr">
        <is>
          <t>TS OFF LED J1</t>
        </is>
      </c>
      <c r="B76" s="9" t="inlineStr">
        <is>
          <t>1</t>
        </is>
      </c>
      <c r="C76" s="9" t="inlineStr">
        <is>
          <t>TS_OFF_LED_Signal</t>
        </is>
      </c>
      <c r="D76" s="9" t="inlineStr">
        <is>
          <t>IN</t>
        </is>
      </c>
      <c r="E76" s="9" t="inlineStr">
        <is>
          <t>3.3V</t>
        </is>
      </c>
      <c r="F76" s="11">
        <f>IF(N76="","",INDEX(Wires!$A$2:$A$1000,N76))</f>
        <v/>
      </c>
      <c r="G76" s="11">
        <f>IF(N76="","",INDEX(Wires!$C$2:$C$1000,N76))</f>
        <v/>
      </c>
      <c r="H76" s="11">
        <f>IF(N76="","",IF(O76="from",INDEX(Wires!$F$2:$F$1000,N76)&amp;":"&amp;INDEX(Wires!$G$2:$G$1000,N76),INDEX(Wires!$D$2:$D$1000,N76)&amp;":"&amp;INDEX(Wires!$E$2:$E$1000,N76)))</f>
        <v/>
      </c>
      <c r="I76" s="11">
        <f>IF(N76="","",INDEX(Wires!$H$2:$H$1000,N76)&amp;"")</f>
        <v/>
      </c>
      <c r="J76" s="11">
        <f>IF(N76="","",IF(INDEX(Wires!$I$2:$I$1000,N76)="","",INDEX(Wires!$I$2:$I$1000,N76)))</f>
        <v/>
      </c>
      <c r="K76" s="11">
        <f>COUNTIF(Wires!$W$2:$W$1000,M76)+COUNTIF(Wires!$X$2:$X$1000,M76)</f>
        <v/>
      </c>
      <c r="L76" s="11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1">
        <f>A76&amp;":"&amp;B76&amp;IF(EXACT(B76,UPPER(B76)),"","|lc")</f>
        <v/>
      </c>
      <c r="N76" s="11">
        <f>IFERROR(MATCH(M76,Wires!$W$2:$W$1000,0),IFERROR(MATCH(M76,Wires!$X$2:$X$1000,0),""))</f>
        <v/>
      </c>
      <c r="O76" s="11">
        <f>IF(N76="","",IF(ISNUMBER(MATCH(M76,Wires!$W$2:$W$1000,0)),"from","to"))</f>
        <v/>
      </c>
    </row>
    <row r="77">
      <c r="A77" s="9" t="inlineStr">
        <is>
          <t>TS OFF LED J1</t>
        </is>
      </c>
      <c r="B77" s="9" t="inlineStr">
        <is>
          <t>2</t>
        </is>
      </c>
      <c r="C77" s="9" t="inlineStr">
        <is>
          <t>TS_OFF_LED_GND</t>
        </is>
      </c>
      <c r="D77" s="9" t="inlineStr">
        <is>
          <t>OUT</t>
        </is>
      </c>
      <c r="E77" s="9" t="inlineStr">
        <is>
          <t>0V</t>
        </is>
      </c>
      <c r="F77" s="11">
        <f>IF(N77="","",INDEX(Wires!$A$2:$A$1000,N77))</f>
        <v/>
      </c>
      <c r="G77" s="11">
        <f>IF(N77="","",INDEX(Wires!$C$2:$C$1000,N77))</f>
        <v/>
      </c>
      <c r="H77" s="11">
        <f>IF(N77="","",IF(O77="from",INDEX(Wires!$F$2:$F$1000,N77)&amp;":"&amp;INDEX(Wires!$G$2:$G$1000,N77),INDEX(Wires!$D$2:$D$1000,N77)&amp;":"&amp;INDEX(Wires!$E$2:$E$1000,N77)))</f>
        <v/>
      </c>
      <c r="I77" s="11">
        <f>IF(N77="","",INDEX(Wires!$H$2:$H$1000,N77)&amp;"")</f>
        <v/>
      </c>
      <c r="J77" s="11">
        <f>IF(N77="","",IF(INDEX(Wires!$I$2:$I$1000,N77)="","",INDEX(Wires!$I$2:$I$1000,N77)))</f>
        <v/>
      </c>
      <c r="K77" s="11">
        <f>COUNTIF(Wires!$W$2:$W$1000,M77)+COUNTIF(Wires!$X$2:$X$1000,M77)</f>
        <v/>
      </c>
      <c r="L77" s="11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1">
        <f>A77&amp;":"&amp;B77&amp;IF(EXACT(B77,UPPER(B77)),"","|lc")</f>
        <v/>
      </c>
      <c r="N77" s="11">
        <f>IFERROR(MATCH(M77,Wires!$W$2:$W$1000,0),IFERROR(MATCH(M77,Wires!$X$2:$X$1000,0),""))</f>
        <v/>
      </c>
      <c r="O77" s="11">
        <f>IF(N77="","",IF(ISNUMBER(MATCH(M77,Wires!$W$2:$W$1000,0)),"from","to"))</f>
        <v/>
      </c>
    </row>
    <row r="78">
      <c r="A78" s="9" t="inlineStr">
        <is>
          <t>IMD LED J1</t>
        </is>
      </c>
      <c r="B78" s="9" t="inlineStr">
        <is>
          <t>1</t>
        </is>
      </c>
      <c r="C78" s="9" t="inlineStr">
        <is>
          <t>IMD_LED_Supply</t>
        </is>
      </c>
      <c r="D78" s="9" t="inlineStr">
        <is>
          <t>IN</t>
        </is>
      </c>
      <c r="E78" s="9" t="inlineStr">
        <is>
          <t>24V</t>
        </is>
      </c>
      <c r="F78" s="11">
        <f>IF(N78="","",INDEX(Wires!$A$2:$A$1000,N78))</f>
        <v/>
      </c>
      <c r="G78" s="11">
        <f>IF(N78="","",INDEX(Wires!$C$2:$C$1000,N78))</f>
        <v/>
      </c>
      <c r="H78" s="11">
        <f>IF(N78="","",IF(O78="from",INDEX(Wires!$F$2:$F$1000,N78)&amp;":"&amp;INDEX(Wires!$G$2:$G$1000,N78),INDEX(Wires!$D$2:$D$1000,N78)&amp;":"&amp;INDEX(Wires!$E$2:$E$1000,N78)))</f>
        <v/>
      </c>
      <c r="I78" s="11">
        <f>IF(N78="","",INDEX(Wires!$H$2:$H$1000,N78)&amp;"")</f>
        <v/>
      </c>
      <c r="J78" s="11">
        <f>IF(N78="","",IF(INDEX(Wires!$I$2:$I$1000,N78)="","",INDEX(Wires!$I$2:$I$1000,N78)))</f>
        <v/>
      </c>
      <c r="K78" s="11">
        <f>COUNTIF(Wires!$W$2:$W$1000,M78)+COUNTIF(Wires!$X$2:$X$1000,M78)</f>
        <v/>
      </c>
      <c r="L78" s="11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1">
        <f>A78&amp;":"&amp;B78&amp;IF(EXACT(B78,UPPER(B78)),"","|lc")</f>
        <v/>
      </c>
      <c r="N78" s="11">
        <f>IFERROR(MATCH(M78,Wires!$W$2:$W$1000,0),IFERROR(MATCH(M78,Wires!$X$2:$X$1000,0),""))</f>
        <v/>
      </c>
      <c r="O78" s="11">
        <f>IF(N78="","",IF(ISNUMBER(MATCH(M78,Wires!$W$2:$W$1000,0)),"from","to"))</f>
        <v/>
      </c>
    </row>
    <row r="79">
      <c r="A79" s="9" t="inlineStr">
        <is>
          <t>IMD LED J1</t>
        </is>
      </c>
      <c r="B79" s="9" t="inlineStr">
        <is>
          <t>2</t>
        </is>
      </c>
      <c r="C79" s="9" t="inlineStr">
        <is>
          <t>IMD_LED_Signal</t>
        </is>
      </c>
      <c r="D79" s="9" t="inlineStr">
        <is>
          <t>OUT</t>
        </is>
      </c>
      <c r="E79" s="9" t="inlineStr">
        <is>
          <t>0V</t>
        </is>
      </c>
      <c r="F79" s="11">
        <f>IF(N79="","",INDEX(Wires!$A$2:$A$1000,N79))</f>
        <v/>
      </c>
      <c r="G79" s="11">
        <f>IF(N79="","",INDEX(Wires!$C$2:$C$1000,N79))</f>
        <v/>
      </c>
      <c r="H79" s="11">
        <f>IF(N79="","",IF(O79="from",INDEX(Wires!$F$2:$F$1000,N79)&amp;":"&amp;INDEX(Wires!$G$2:$G$1000,N79),INDEX(Wires!$D$2:$D$1000,N79)&amp;":"&amp;INDEX(Wires!$E$2:$E$1000,N79)))</f>
        <v/>
      </c>
      <c r="I79" s="11">
        <f>IF(N79="","",INDEX(Wires!$H$2:$H$1000,N79)&amp;"")</f>
        <v/>
      </c>
      <c r="J79" s="11">
        <f>IF(N79="","",IF(INDEX(Wires!$I$2:$I$1000,N79)="","",INDEX(Wires!$I$2:$I$1000,N79)))</f>
        <v/>
      </c>
      <c r="K79" s="11">
        <f>COUNTIF(Wires!$W$2:$W$1000,M79)+COUNTIF(Wires!$X$2:$X$1000,M79)</f>
        <v/>
      </c>
      <c r="L79" s="11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1">
        <f>A79&amp;":"&amp;B79&amp;IF(EXACT(B79,UPPER(B79)),"","|lc")</f>
        <v/>
      </c>
      <c r="N79" s="11">
        <f>IFERROR(MATCH(M79,Wires!$W$2:$W$1000,0),IFERROR(MATCH(M79,Wires!$X$2:$X$1000,0),""))</f>
        <v/>
      </c>
      <c r="O79" s="11">
        <f>IF(N79="","",IF(ISNUMBER(MATCH(M79,Wires!$W$2:$W$1000,0)),"from","to"))</f>
        <v/>
      </c>
    </row>
    <row r="80">
      <c r="A80" s="9" t="inlineStr">
        <is>
          <t>SDC LED J1</t>
        </is>
      </c>
      <c r="B80" s="9" t="inlineStr">
        <is>
          <t>1</t>
        </is>
      </c>
      <c r="C80" s="9" t="inlineStr">
        <is>
          <t>SDC_LED_Signal</t>
        </is>
      </c>
      <c r="D80" s="9" t="inlineStr">
        <is>
          <t>IN</t>
        </is>
      </c>
      <c r="E80" s="9" t="inlineStr">
        <is>
          <t>24V</t>
        </is>
      </c>
      <c r="F80" s="11">
        <f>IF(N80="","",INDEX(Wires!$A$2:$A$1000,N80))</f>
        <v/>
      </c>
      <c r="G80" s="11">
        <f>IF(N80="","",INDEX(Wires!$C$2:$C$1000,N80))</f>
        <v/>
      </c>
      <c r="H80" s="11">
        <f>IF(N80="","",IF(O80="from",INDEX(Wires!$F$2:$F$1000,N80)&amp;":"&amp;INDEX(Wires!$G$2:$G$1000,N80),INDEX(Wires!$D$2:$D$1000,N80)&amp;":"&amp;INDEX(Wires!$E$2:$E$1000,N80)))</f>
        <v/>
      </c>
      <c r="I80" s="11">
        <f>IF(N80="","",INDEX(Wires!$H$2:$H$1000,N80)&amp;"")</f>
        <v/>
      </c>
      <c r="J80" s="11">
        <f>IF(N80="","",IF(INDEX(Wires!$I$2:$I$1000,N80)="","",INDEX(Wires!$I$2:$I$1000,N80)))</f>
        <v/>
      </c>
      <c r="K80" s="11">
        <f>COUNTIF(Wires!$W$2:$W$1000,M80)+COUNTIF(Wires!$X$2:$X$1000,M80)</f>
        <v/>
      </c>
      <c r="L80" s="11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1">
        <f>A80&amp;":"&amp;B80&amp;IF(EXACT(B80,UPPER(B80)),"","|lc")</f>
        <v/>
      </c>
      <c r="N80" s="11">
        <f>IFERROR(MATCH(M80,Wires!$W$2:$W$1000,0),IFERROR(MATCH(M80,Wires!$X$2:$X$1000,0),""))</f>
        <v/>
      </c>
      <c r="O80" s="11">
        <f>IF(N80="","",IF(ISNUMBER(MATCH(M80,Wires!$W$2:$W$1000,0)),"from","to"))</f>
        <v/>
      </c>
    </row>
    <row r="81">
      <c r="A81" s="9" t="inlineStr">
        <is>
          <t>SDC LED J1</t>
        </is>
      </c>
      <c r="B81" s="9" t="inlineStr">
        <is>
          <t>2</t>
        </is>
      </c>
      <c r="C81" s="9" t="inlineStr">
        <is>
          <t>SDC_LED_GND</t>
        </is>
      </c>
      <c r="D81" s="9" t="inlineStr">
        <is>
          <t>OUT</t>
        </is>
      </c>
      <c r="E81" s="9" t="inlineStr">
        <is>
          <t>0V</t>
        </is>
      </c>
      <c r="F81" s="11">
        <f>IF(N81="","",INDEX(Wires!$A$2:$A$1000,N81))</f>
        <v/>
      </c>
      <c r="G81" s="11">
        <f>IF(N81="","",INDEX(Wires!$C$2:$C$1000,N81))</f>
        <v/>
      </c>
      <c r="H81" s="11">
        <f>IF(N81="","",IF(O81="from",INDEX(Wires!$F$2:$F$1000,N81)&amp;":"&amp;INDEX(Wires!$G$2:$G$1000,N81),INDEX(Wires!$D$2:$D$1000,N81)&amp;":"&amp;INDEX(Wires!$E$2:$E$1000,N81)))</f>
        <v/>
      </c>
      <c r="I81" s="11">
        <f>IF(N81="","",INDEX(Wires!$H$2:$H$1000,N81)&amp;"")</f>
        <v/>
      </c>
      <c r="J81" s="11">
        <f>IF(N81="","",IF(INDEX(Wires!$I$2:$I$1000,N81)="","",INDEX(Wires!$I$2:$I$1000,N81)))</f>
        <v/>
      </c>
      <c r="K81" s="11">
        <f>COUNTIF(Wires!$W$2:$W$1000,M81)+COUNTIF(Wires!$X$2:$X$1000,M81)</f>
        <v/>
      </c>
      <c r="L81" s="11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1">
        <f>A81&amp;":"&amp;B81&amp;IF(EXACT(B81,UPPER(B81)),"","|lc")</f>
        <v/>
      </c>
      <c r="N81" s="11">
        <f>IFERROR(MATCH(M81,Wires!$W$2:$W$1000,0),IFERROR(MATCH(M81,Wires!$X$2:$X$1000,0),""))</f>
        <v/>
      </c>
      <c r="O81" s="11">
        <f>IF(N81="","",IF(ISNUMBER(MATCH(M81,Wires!$W$2:$W$1000,0)),"from","to"))</f>
        <v/>
      </c>
    </row>
    <row r="82">
      <c r="A82" s="9" t="inlineStr">
        <is>
          <t>LV ON LED J1</t>
        </is>
      </c>
      <c r="B82" s="9" t="inlineStr">
        <is>
          <t>1</t>
        </is>
      </c>
      <c r="C82" s="9" t="inlineStr">
        <is>
          <t>LV_ON_LED_Signal</t>
        </is>
      </c>
      <c r="D82" s="9" t="inlineStr">
        <is>
          <t>IN</t>
        </is>
      </c>
      <c r="E82" s="9" t="inlineStr">
        <is>
          <t>24V</t>
        </is>
      </c>
      <c r="F82" s="11">
        <f>IF(N82="","",INDEX(Wires!$A$2:$A$1000,N82))</f>
        <v/>
      </c>
      <c r="G82" s="11">
        <f>IF(N82="","",INDEX(Wires!$C$2:$C$1000,N82))</f>
        <v/>
      </c>
      <c r="H82" s="11">
        <f>IF(N82="","",IF(O82="from",INDEX(Wires!$F$2:$F$1000,N82)&amp;":"&amp;INDEX(Wires!$G$2:$G$1000,N82),INDEX(Wires!$D$2:$D$1000,N82)&amp;":"&amp;INDEX(Wires!$E$2:$E$1000,N82)))</f>
        <v/>
      </c>
      <c r="I82" s="11">
        <f>IF(N82="","",INDEX(Wires!$H$2:$H$1000,N82)&amp;"")</f>
        <v/>
      </c>
      <c r="J82" s="11">
        <f>IF(N82="","",IF(INDEX(Wires!$I$2:$I$1000,N82)="","",INDEX(Wires!$I$2:$I$1000,N82)))</f>
        <v/>
      </c>
      <c r="K82" s="11">
        <f>COUNTIF(Wires!$W$2:$W$1000,M82)+COUNTIF(Wires!$X$2:$X$1000,M82)</f>
        <v/>
      </c>
      <c r="L82" s="11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1">
        <f>A82&amp;":"&amp;B82&amp;IF(EXACT(B82,UPPER(B82)),"","|lc")</f>
        <v/>
      </c>
      <c r="N82" s="11">
        <f>IFERROR(MATCH(M82,Wires!$W$2:$W$1000,0),IFERROR(MATCH(M82,Wires!$X$2:$X$1000,0),""))</f>
        <v/>
      </c>
      <c r="O82" s="11">
        <f>IF(N82="","",IF(ISNUMBER(MATCH(M82,Wires!$W$2:$W$1000,0)),"from","to"))</f>
        <v/>
      </c>
    </row>
    <row r="83">
      <c r="A83" s="9" t="inlineStr">
        <is>
          <t>LV ON LED J1</t>
        </is>
      </c>
      <c r="B83" s="9" t="inlineStr">
        <is>
          <t>2</t>
        </is>
      </c>
      <c r="C83" s="9" t="inlineStr">
        <is>
          <t>LV_ON_LED_GND</t>
        </is>
      </c>
      <c r="D83" s="9" t="inlineStr">
        <is>
          <t>OUT</t>
        </is>
      </c>
      <c r="E83" s="9" t="inlineStr">
        <is>
          <t>0V</t>
        </is>
      </c>
      <c r="F83" s="11">
        <f>IF(N83="","",INDEX(Wires!$A$2:$A$1000,N83))</f>
        <v/>
      </c>
      <c r="G83" s="11">
        <f>IF(N83="","",INDEX(Wires!$C$2:$C$1000,N83))</f>
        <v/>
      </c>
      <c r="H83" s="11">
        <f>IF(N83="","",IF(O83="from",INDEX(Wires!$F$2:$F$1000,N83)&amp;":"&amp;INDEX(Wires!$G$2:$G$1000,N83),INDEX(Wires!$D$2:$D$1000,N83)&amp;":"&amp;INDEX(Wires!$E$2:$E$1000,N83)))</f>
        <v/>
      </c>
      <c r="I83" s="11">
        <f>IF(N83="","",INDEX(Wires!$H$2:$H$1000,N83)&amp;"")</f>
        <v/>
      </c>
      <c r="J83" s="11">
        <f>IF(N83="","",IF(INDEX(Wires!$I$2:$I$1000,N83)="","",INDEX(Wires!$I$2:$I$1000,N83)))</f>
        <v/>
      </c>
      <c r="K83" s="11">
        <f>COUNTIF(Wires!$W$2:$W$1000,M83)+COUNTIF(Wires!$X$2:$X$1000,M83)</f>
        <v/>
      </c>
      <c r="L83" s="11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1">
        <f>A83&amp;":"&amp;B83&amp;IF(EXACT(B83,UPPER(B83)),"","|lc")</f>
        <v/>
      </c>
      <c r="N83" s="11">
        <f>IFERROR(MATCH(M83,Wires!$W$2:$W$1000,0),IFERROR(MATCH(M83,Wires!$X$2:$X$1000,0),""))</f>
        <v/>
      </c>
      <c r="O83" s="11">
        <f>IF(N83="","",IF(ISNUMBER(MATCH(M83,Wires!$W$2:$W$1000,0)),"from","to"))</f>
        <v/>
      </c>
    </row>
    <row r="84">
      <c r="A84" s="9" t="inlineStr">
        <is>
          <t>TS ON LED J1</t>
        </is>
      </c>
      <c r="B84" s="9" t="inlineStr">
        <is>
          <t>1</t>
        </is>
      </c>
      <c r="C84" s="9" t="inlineStr">
        <is>
          <t>TS_ON_LED_Signal</t>
        </is>
      </c>
      <c r="D84" s="9" t="inlineStr">
        <is>
          <t>IN</t>
        </is>
      </c>
      <c r="E84" s="9" t="inlineStr">
        <is>
          <t>3.3V</t>
        </is>
      </c>
      <c r="F84" s="11">
        <f>IF(N84="","",INDEX(Wires!$A$2:$A$1000,N84))</f>
        <v/>
      </c>
      <c r="G84" s="11">
        <f>IF(N84="","",INDEX(Wires!$C$2:$C$1000,N84))</f>
        <v/>
      </c>
      <c r="H84" s="11">
        <f>IF(N84="","",IF(O84="from",INDEX(Wires!$F$2:$F$1000,N84)&amp;":"&amp;INDEX(Wires!$G$2:$G$1000,N84),INDEX(Wires!$D$2:$D$1000,N84)&amp;":"&amp;INDEX(Wires!$E$2:$E$1000,N84)))</f>
        <v/>
      </c>
      <c r="I84" s="11">
        <f>IF(N84="","",INDEX(Wires!$H$2:$H$1000,N84)&amp;"")</f>
        <v/>
      </c>
      <c r="J84" s="11">
        <f>IF(N84="","",IF(INDEX(Wires!$I$2:$I$1000,N84)="","",INDEX(Wires!$I$2:$I$1000,N84)))</f>
        <v/>
      </c>
      <c r="K84" s="11">
        <f>COUNTIF(Wires!$W$2:$W$1000,M84)+COUNTIF(Wires!$X$2:$X$1000,M84)</f>
        <v/>
      </c>
      <c r="L84" s="11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1">
        <f>A84&amp;":"&amp;B84&amp;IF(EXACT(B84,UPPER(B84)),"","|lc")</f>
        <v/>
      </c>
      <c r="N84" s="11">
        <f>IFERROR(MATCH(M84,Wires!$W$2:$W$1000,0),IFERROR(MATCH(M84,Wires!$X$2:$X$1000,0),""))</f>
        <v/>
      </c>
      <c r="O84" s="11">
        <f>IF(N84="","",IF(ISNUMBER(MATCH(M84,Wires!$W$2:$W$1000,0)),"from","to"))</f>
        <v/>
      </c>
    </row>
    <row r="85">
      <c r="A85" s="9" t="inlineStr">
        <is>
          <t>TS ON LED J1</t>
        </is>
      </c>
      <c r="B85" s="9" t="inlineStr">
        <is>
          <t>2</t>
        </is>
      </c>
      <c r="C85" s="9" t="inlineStr">
        <is>
          <t>TS_ON_LED_GND</t>
        </is>
      </c>
      <c r="D85" s="9" t="inlineStr">
        <is>
          <t>OUT</t>
        </is>
      </c>
      <c r="E85" s="9" t="inlineStr">
        <is>
          <t>0V</t>
        </is>
      </c>
      <c r="F85" s="11">
        <f>IF(N85="","",INDEX(Wires!$A$2:$A$1000,N85))</f>
        <v/>
      </c>
      <c r="G85" s="11">
        <f>IF(N85="","",INDEX(Wires!$C$2:$C$1000,N85))</f>
        <v/>
      </c>
      <c r="H85" s="11">
        <f>IF(N85="","",IF(O85="from",INDEX(Wires!$F$2:$F$1000,N85)&amp;":"&amp;INDEX(Wires!$G$2:$G$1000,N85),INDEX(Wires!$D$2:$D$1000,N85)&amp;":"&amp;INDEX(Wires!$E$2:$E$1000,N85)))</f>
        <v/>
      </c>
      <c r="I85" s="11">
        <f>IF(N85="","",INDEX(Wires!$H$2:$H$1000,N85)&amp;"")</f>
        <v/>
      </c>
      <c r="J85" s="11">
        <f>IF(N85="","",IF(INDEX(Wires!$I$2:$I$1000,N85)="","",INDEX(Wires!$I$2:$I$1000,N85)))</f>
        <v/>
      </c>
      <c r="K85" s="11">
        <f>COUNTIF(Wires!$W$2:$W$1000,M85)+COUNTIF(Wires!$X$2:$X$1000,M85)</f>
        <v/>
      </c>
      <c r="L85" s="11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1">
        <f>A85&amp;":"&amp;B85&amp;IF(EXACT(B85,UPPER(B85)),"","|lc")</f>
        <v/>
      </c>
      <c r="N85" s="11">
        <f>IFERROR(MATCH(M85,Wires!$W$2:$W$1000,0),IFERROR(MATCH(M85,Wires!$X$2:$X$1000,0),""))</f>
        <v/>
      </c>
      <c r="O85" s="11">
        <f>IF(N85="","",IF(ISNUMBER(MATCH(M85,Wires!$W$2:$W$1000,0)),"from","to"))</f>
        <v/>
      </c>
    </row>
    <row r="86">
      <c r="A86" s="9" t="inlineStr">
        <is>
          <t>EMERGENCY J1</t>
        </is>
      </c>
      <c r="B86" s="9" t="inlineStr">
        <is>
          <t>1</t>
        </is>
      </c>
      <c r="C86" s="9" t="inlineStr">
        <is>
          <t>Shutdown In</t>
        </is>
      </c>
      <c r="D86" s="9" t="inlineStr">
        <is>
          <t>IN</t>
        </is>
      </c>
      <c r="E86" s="9" t="inlineStr">
        <is>
          <t>24V</t>
        </is>
      </c>
      <c r="F86" s="11">
        <f>IF(N86="","",INDEX(Wires!$A$2:$A$1000,N86))</f>
        <v/>
      </c>
      <c r="G86" s="11">
        <f>IF(N86="","",INDEX(Wires!$C$2:$C$1000,N86))</f>
        <v/>
      </c>
      <c r="H86" s="11">
        <f>IF(N86="","",IF(O86="from",INDEX(Wires!$F$2:$F$1000,N86)&amp;":"&amp;INDEX(Wires!$G$2:$G$1000,N86),INDEX(Wires!$D$2:$D$1000,N86)&amp;":"&amp;INDEX(Wires!$E$2:$E$1000,N86)))</f>
        <v/>
      </c>
      <c r="I86" s="11">
        <f>IF(N86="","",INDEX(Wires!$H$2:$H$1000,N86)&amp;"")</f>
        <v/>
      </c>
      <c r="J86" s="11">
        <f>IF(N86="","",IF(INDEX(Wires!$I$2:$I$1000,N86)="","",INDEX(Wires!$I$2:$I$1000,N86)))</f>
        <v/>
      </c>
      <c r="K86" s="11">
        <f>COUNTIF(Wires!$W$2:$W$1000,M86)+COUNTIF(Wires!$X$2:$X$1000,M86)</f>
        <v/>
      </c>
      <c r="L86" s="11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1">
        <f>A86&amp;":"&amp;B86&amp;IF(EXACT(B86,UPPER(B86)),"","|lc")</f>
        <v/>
      </c>
      <c r="N86" s="11">
        <f>IFERROR(MATCH(M86,Wires!$W$2:$W$1000,0),IFERROR(MATCH(M86,Wires!$X$2:$X$1000,0),""))</f>
        <v/>
      </c>
      <c r="O86" s="11">
        <f>IF(N86="","",IF(ISNUMBER(MATCH(M86,Wires!$W$2:$W$1000,0)),"from","to"))</f>
        <v/>
      </c>
    </row>
    <row r="87">
      <c r="A87" s="9" t="inlineStr">
        <is>
          <t>EMERGENCY J1</t>
        </is>
      </c>
      <c r="B87" s="9" t="inlineStr">
        <is>
          <t>2</t>
        </is>
      </c>
      <c r="C87" s="9" t="inlineStr">
        <is>
          <t>Shutdown Out</t>
        </is>
      </c>
      <c r="D87" s="9" t="inlineStr">
        <is>
          <t>OUT</t>
        </is>
      </c>
      <c r="E87" s="9" t="inlineStr">
        <is>
          <t>24V</t>
        </is>
      </c>
      <c r="F87" s="11">
        <f>IF(N87="","",INDEX(Wires!$A$2:$A$1000,N87))</f>
        <v/>
      </c>
      <c r="G87" s="11">
        <f>IF(N87="","",INDEX(Wires!$C$2:$C$1000,N87))</f>
        <v/>
      </c>
      <c r="H87" s="11">
        <f>IF(N87="","",IF(O87="from",INDEX(Wires!$F$2:$F$1000,N87)&amp;":"&amp;INDEX(Wires!$G$2:$G$1000,N87),INDEX(Wires!$D$2:$D$1000,N87)&amp;":"&amp;INDEX(Wires!$E$2:$E$1000,N87)))</f>
        <v/>
      </c>
      <c r="I87" s="11">
        <f>IF(N87="","",INDEX(Wires!$H$2:$H$1000,N87)&amp;"")</f>
        <v/>
      </c>
      <c r="J87" s="11">
        <f>IF(N87="","",IF(INDEX(Wires!$I$2:$I$1000,N87)="","",INDEX(Wires!$I$2:$I$1000,N87)))</f>
        <v/>
      </c>
      <c r="K87" s="11">
        <f>COUNTIF(Wires!$W$2:$W$1000,M87)+COUNTIF(Wires!$X$2:$X$1000,M87)</f>
        <v/>
      </c>
      <c r="L87" s="11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1">
        <f>A87&amp;":"&amp;B87&amp;IF(EXACT(B87,UPPER(B87)),"","|lc")</f>
        <v/>
      </c>
      <c r="N87" s="11">
        <f>IFERROR(MATCH(M87,Wires!$W$2:$W$1000,0),IFERROR(MATCH(M87,Wires!$X$2:$X$1000,0),""))</f>
        <v/>
      </c>
      <c r="O87" s="11">
        <f>IF(N87="","",IF(ISNUMBER(MATCH(M87,Wires!$W$2:$W$1000,0)),"from","to"))</f>
        <v/>
      </c>
    </row>
    <row r="88">
      <c r="A88" s="9" t="inlineStr">
        <is>
          <t>IGNITION J1</t>
        </is>
      </c>
      <c r="B88" s="9" t="inlineStr">
        <is>
          <t>1</t>
        </is>
      </c>
      <c r="C88" s="9" t="inlineStr">
        <is>
          <t>Ignition_Supply</t>
        </is>
      </c>
      <c r="D88" s="9" t="inlineStr">
        <is>
          <t>IN</t>
        </is>
      </c>
      <c r="E88" s="9" t="inlineStr">
        <is>
          <t>24V</t>
        </is>
      </c>
      <c r="F88" s="11">
        <f>IF(N88="","",INDEX(Wires!$A$2:$A$1000,N88))</f>
        <v/>
      </c>
      <c r="G88" s="11">
        <f>IF(N88="","",INDEX(Wires!$C$2:$C$1000,N88))</f>
        <v/>
      </c>
      <c r="H88" s="11">
        <f>IF(N88="","",IF(O88="from",INDEX(Wires!$F$2:$F$1000,N88)&amp;":"&amp;INDEX(Wires!$G$2:$G$1000,N88),INDEX(Wires!$D$2:$D$1000,N88)&amp;":"&amp;INDEX(Wires!$E$2:$E$1000,N88)))</f>
        <v/>
      </c>
      <c r="I88" s="11">
        <f>IF(N88="","",INDEX(Wires!$H$2:$H$1000,N88)&amp;"")</f>
        <v/>
      </c>
      <c r="J88" s="11">
        <f>IF(N88="","",IF(INDEX(Wires!$I$2:$I$1000,N88)="","",INDEX(Wires!$I$2:$I$1000,N88)))</f>
        <v/>
      </c>
      <c r="K88" s="11">
        <f>COUNTIF(Wires!$W$2:$W$1000,M88)+COUNTIF(Wires!$X$2:$X$1000,M88)</f>
        <v/>
      </c>
      <c r="L88" s="11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1">
        <f>A88&amp;":"&amp;B88&amp;IF(EXACT(B88,UPPER(B88)),"","|lc")</f>
        <v/>
      </c>
      <c r="N88" s="11">
        <f>IFERROR(MATCH(M88,Wires!$W$2:$W$1000,0),IFERROR(MATCH(M88,Wires!$X$2:$X$1000,0),""))</f>
        <v/>
      </c>
      <c r="O88" s="11">
        <f>IF(N88="","",IF(ISNUMBER(MATCH(M88,Wires!$W$2:$W$1000,0)),"from","to"))</f>
        <v/>
      </c>
    </row>
    <row r="89">
      <c r="A89" s="9" t="inlineStr">
        <is>
          <t>IGNITION J1</t>
        </is>
      </c>
      <c r="B89" s="9" t="inlineStr">
        <is>
          <t>2</t>
        </is>
      </c>
      <c r="C89" s="9" t="inlineStr">
        <is>
          <t>Ignition Signal</t>
        </is>
      </c>
      <c r="D89" s="9" t="inlineStr">
        <is>
          <t>OUT</t>
        </is>
      </c>
      <c r="E89" s="9" t="inlineStr">
        <is>
          <t>24V</t>
        </is>
      </c>
      <c r="F89" s="11">
        <f>IF(N89="","",INDEX(Wires!$A$2:$A$1000,N89))</f>
        <v/>
      </c>
      <c r="G89" s="11">
        <f>IF(N89="","",INDEX(Wires!$C$2:$C$1000,N89))</f>
        <v/>
      </c>
      <c r="H89" s="11">
        <f>IF(N89="","",IF(O89="from",INDEX(Wires!$F$2:$F$1000,N89)&amp;":"&amp;INDEX(Wires!$G$2:$G$1000,N89),INDEX(Wires!$D$2:$D$1000,N89)&amp;":"&amp;INDEX(Wires!$E$2:$E$1000,N89)))</f>
        <v/>
      </c>
      <c r="I89" s="11">
        <f>IF(N89="","",INDEX(Wires!$H$2:$H$1000,N89)&amp;"")</f>
        <v/>
      </c>
      <c r="J89" s="11">
        <f>IF(N89="","",IF(INDEX(Wires!$I$2:$I$1000,N89)="","",INDEX(Wires!$I$2:$I$1000,N89)))</f>
        <v/>
      </c>
      <c r="K89" s="11">
        <f>COUNTIF(Wires!$W$2:$W$1000,M89)+COUNTIF(Wires!$X$2:$X$1000,M89)</f>
        <v/>
      </c>
      <c r="L89" s="11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1">
        <f>A89&amp;":"&amp;B89&amp;IF(EXACT(B89,UPPER(B89)),"","|lc")</f>
        <v/>
      </c>
      <c r="N89" s="11">
        <f>IFERROR(MATCH(M89,Wires!$W$2:$W$1000,0),IFERROR(MATCH(M89,Wires!$X$2:$X$1000,0),""))</f>
        <v/>
      </c>
      <c r="O89" s="11">
        <f>IF(N89="","",IF(ISNUMBER(MATCH(M89,Wires!$W$2:$W$1000,0)),"from","to"))</f>
        <v/>
      </c>
    </row>
    <row r="90">
      <c r="A90" s="9" t="inlineStr">
        <is>
          <t>R2D J1</t>
        </is>
      </c>
      <c r="B90" s="9" t="inlineStr">
        <is>
          <t>1</t>
        </is>
      </c>
      <c r="C90" s="9" t="inlineStr">
        <is>
          <t>R2D-Supply</t>
        </is>
      </c>
      <c r="D90" s="9" t="inlineStr">
        <is>
          <t>IN</t>
        </is>
      </c>
      <c r="E90" s="9" t="inlineStr">
        <is>
          <t>24V</t>
        </is>
      </c>
      <c r="F90" s="11">
        <f>IF(N90="","",INDEX(Wires!$A$2:$A$1000,N90))</f>
        <v/>
      </c>
      <c r="G90" s="11">
        <f>IF(N90="","",INDEX(Wires!$C$2:$C$1000,N90))</f>
        <v/>
      </c>
      <c r="H90" s="11">
        <f>IF(N90="","",IF(O90="from",INDEX(Wires!$F$2:$F$1000,N90)&amp;":"&amp;INDEX(Wires!$G$2:$G$1000,N90),INDEX(Wires!$D$2:$D$1000,N90)&amp;":"&amp;INDEX(Wires!$E$2:$E$1000,N90)))</f>
        <v/>
      </c>
      <c r="I90" s="11">
        <f>IF(N90="","",INDEX(Wires!$H$2:$H$1000,N90)&amp;"")</f>
        <v/>
      </c>
      <c r="J90" s="11">
        <f>IF(N90="","",IF(INDEX(Wires!$I$2:$I$1000,N90)="","",INDEX(Wires!$I$2:$I$1000,N90)))</f>
        <v/>
      </c>
      <c r="K90" s="11">
        <f>COUNTIF(Wires!$W$2:$W$1000,M90)+COUNTIF(Wires!$X$2:$X$1000,M90)</f>
        <v/>
      </c>
      <c r="L90" s="11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1">
        <f>A90&amp;":"&amp;B90&amp;IF(EXACT(B90,UPPER(B90)),"","|lc")</f>
        <v/>
      </c>
      <c r="N90" s="11">
        <f>IFERROR(MATCH(M90,Wires!$W$2:$W$1000,0),IFERROR(MATCH(M90,Wires!$X$2:$X$1000,0),""))</f>
        <v/>
      </c>
      <c r="O90" s="11">
        <f>IF(N90="","",IF(ISNUMBER(MATCH(M90,Wires!$W$2:$W$1000,0)),"from","to"))</f>
        <v/>
      </c>
    </row>
    <row r="91">
      <c r="A91" s="9" t="inlineStr">
        <is>
          <t>R2D J1</t>
        </is>
      </c>
      <c r="B91" s="9" t="inlineStr">
        <is>
          <t>2</t>
        </is>
      </c>
      <c r="C91" s="9" t="inlineStr">
        <is>
          <t>Ready to Drive Signal</t>
        </is>
      </c>
      <c r="D91" s="9" t="inlineStr">
        <is>
          <t>OUT</t>
        </is>
      </c>
      <c r="E91" s="9" t="inlineStr">
        <is>
          <t>24V</t>
        </is>
      </c>
      <c r="F91" s="11">
        <f>IF(N91="","",INDEX(Wires!$A$2:$A$1000,N91))</f>
        <v/>
      </c>
      <c r="G91" s="11">
        <f>IF(N91="","",INDEX(Wires!$C$2:$C$1000,N91))</f>
        <v/>
      </c>
      <c r="H91" s="11">
        <f>IF(N91="","",IF(O91="from",INDEX(Wires!$F$2:$F$1000,N91)&amp;":"&amp;INDEX(Wires!$G$2:$G$1000,N91),INDEX(Wires!$D$2:$D$1000,N91)&amp;":"&amp;INDEX(Wires!$E$2:$E$1000,N91)))</f>
        <v/>
      </c>
      <c r="I91" s="11">
        <f>IF(N91="","",INDEX(Wires!$H$2:$H$1000,N91)&amp;"")</f>
        <v/>
      </c>
      <c r="J91" s="11">
        <f>IF(N91="","",IF(INDEX(Wires!$I$2:$I$1000,N91)="","",INDEX(Wires!$I$2:$I$1000,N91)))</f>
        <v/>
      </c>
      <c r="K91" s="11">
        <f>COUNTIF(Wires!$W$2:$W$1000,M91)+COUNTIF(Wires!$X$2:$X$1000,M91)</f>
        <v/>
      </c>
      <c r="L91" s="11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1">
        <f>A91&amp;":"&amp;B91&amp;IF(EXACT(B91,UPPER(B91)),"","|lc")</f>
        <v/>
      </c>
      <c r="N91" s="11">
        <f>IFERROR(MATCH(M91,Wires!$W$2:$W$1000,0),IFERROR(MATCH(M91,Wires!$X$2:$X$1000,0),""))</f>
        <v/>
      </c>
      <c r="O91" s="11">
        <f>IF(N91="","",IF(ISNUMBER(MATCH(M91,Wires!$W$2:$W$1000,0)),"from","to"))</f>
        <v/>
      </c>
    </row>
    <row r="92">
      <c r="A92" s="9" t="inlineStr">
        <is>
          <t>R2D J1</t>
        </is>
      </c>
      <c r="B92" s="9" t="inlineStr">
        <is>
          <t>3</t>
        </is>
      </c>
      <c r="C92" s="9" t="inlineStr">
        <is>
          <t>LED R2D Supply</t>
        </is>
      </c>
      <c r="D92" s="9" t="inlineStr">
        <is>
          <t>IN</t>
        </is>
      </c>
      <c r="E92" s="9" t="inlineStr">
        <is>
          <t>24V</t>
        </is>
      </c>
      <c r="F92" s="11">
        <f>IF(N92="","",INDEX(Wires!$A$2:$A$1000,N92))</f>
        <v/>
      </c>
      <c r="G92" s="11">
        <f>IF(N92="","",INDEX(Wires!$C$2:$C$1000,N92))</f>
        <v/>
      </c>
      <c r="H92" s="11">
        <f>IF(N92="","",IF(O92="from",INDEX(Wires!$F$2:$F$1000,N92)&amp;":"&amp;INDEX(Wires!$G$2:$G$1000,N92),INDEX(Wires!$D$2:$D$1000,N92)&amp;":"&amp;INDEX(Wires!$E$2:$E$1000,N92)))</f>
        <v/>
      </c>
      <c r="I92" s="11">
        <f>IF(N92="","",INDEX(Wires!$H$2:$H$1000,N92)&amp;"")</f>
        <v/>
      </c>
      <c r="J92" s="11">
        <f>IF(N92="","",IF(INDEX(Wires!$I$2:$I$1000,N92)="","",INDEX(Wires!$I$2:$I$1000,N92)))</f>
        <v/>
      </c>
      <c r="K92" s="11">
        <f>COUNTIF(Wires!$W$2:$W$1000,M92)+COUNTIF(Wires!$X$2:$X$1000,M92)</f>
        <v/>
      </c>
      <c r="L92" s="11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1">
        <f>A92&amp;":"&amp;B92&amp;IF(EXACT(B92,UPPER(B92)),"","|lc")</f>
        <v/>
      </c>
      <c r="N92" s="11">
        <f>IFERROR(MATCH(M92,Wires!$W$2:$W$1000,0),IFERROR(MATCH(M92,Wires!$X$2:$X$1000,0),""))</f>
        <v/>
      </c>
      <c r="O92" s="11">
        <f>IF(N92="","",IF(ISNUMBER(MATCH(M92,Wires!$W$2:$W$1000,0)),"from","to"))</f>
        <v/>
      </c>
    </row>
    <row r="93">
      <c r="A93" s="9" t="inlineStr">
        <is>
          <t>R2D J1</t>
        </is>
      </c>
      <c r="B93" s="9" t="inlineStr">
        <is>
          <t>4</t>
        </is>
      </c>
      <c r="C93" s="9" t="inlineStr">
        <is>
          <t>LED R2D Signal</t>
        </is>
      </c>
      <c r="D93" s="9" t="inlineStr">
        <is>
          <t>OUT</t>
        </is>
      </c>
      <c r="E93" s="9" t="inlineStr">
        <is>
          <t>0V</t>
        </is>
      </c>
      <c r="F93" s="11">
        <f>IF(N93="","",INDEX(Wires!$A$2:$A$1000,N93))</f>
        <v/>
      </c>
      <c r="G93" s="11">
        <f>IF(N93="","",INDEX(Wires!$C$2:$C$1000,N93))</f>
        <v/>
      </c>
      <c r="H93" s="11">
        <f>IF(N93="","",IF(O93="from",INDEX(Wires!$F$2:$F$1000,N93)&amp;":"&amp;INDEX(Wires!$G$2:$G$1000,N93),INDEX(Wires!$D$2:$D$1000,N93)&amp;":"&amp;INDEX(Wires!$E$2:$E$1000,N93)))</f>
        <v/>
      </c>
      <c r="I93" s="11">
        <f>IF(N93="","",INDEX(Wires!$H$2:$H$1000,N93)&amp;"")</f>
        <v/>
      </c>
      <c r="J93" s="11">
        <f>IF(N93="","",IF(INDEX(Wires!$I$2:$I$1000,N93)="","",INDEX(Wires!$I$2:$I$1000,N93)))</f>
        <v/>
      </c>
      <c r="K93" s="11">
        <f>COUNTIF(Wires!$W$2:$W$1000,M93)+COUNTIF(Wires!$X$2:$X$1000,M93)</f>
        <v/>
      </c>
      <c r="L93" s="11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1">
        <f>A93&amp;":"&amp;B93&amp;IF(EXACT(B93,UPPER(B93)),"","|lc")</f>
        <v/>
      </c>
      <c r="N93" s="11">
        <f>IFERROR(MATCH(M93,Wires!$W$2:$W$1000,0),IFERROR(MATCH(M93,Wires!$X$2:$X$1000,0),""))</f>
        <v/>
      </c>
      <c r="O93" s="11">
        <f>IF(N93="","",IF(ISNUMBER(MATCH(M93,Wires!$W$2:$W$1000,0)),"from","to"))</f>
        <v/>
      </c>
    </row>
    <row r="94">
      <c r="A94" s="9" t="inlineStr">
        <is>
          <t>SPL BOTS-1</t>
        </is>
      </c>
      <c r="B94" s="9" t="inlineStr">
        <is>
          <t>S</t>
        </is>
      </c>
      <c r="C94" s="9" t="inlineStr">
        <is>
          <t>BOTS-1</t>
        </is>
      </c>
      <c r="D94" s="9" t="n"/>
      <c r="E94" s="9" t="n"/>
      <c r="F94" s="11">
        <f>IF(N94="","",INDEX(Wires!$A$2:$A$1000,N94))</f>
        <v/>
      </c>
      <c r="G94" s="11">
        <f>IF(N94="","",INDEX(Wires!$C$2:$C$1000,N94))</f>
        <v/>
      </c>
      <c r="H94" s="11">
        <f>IF(N94="","",IF(O94="from",INDEX(Wires!$F$2:$F$1000,N94)&amp;":"&amp;INDEX(Wires!$G$2:$G$1000,N94),INDEX(Wires!$D$2:$D$1000,N94)&amp;":"&amp;INDEX(Wires!$E$2:$E$1000,N94)))</f>
        <v/>
      </c>
      <c r="I94" s="11">
        <f>IF(N94="","",INDEX(Wires!$H$2:$H$1000,N94)&amp;"")</f>
        <v/>
      </c>
      <c r="J94" s="11">
        <f>IF(N94="","",IF(INDEX(Wires!$I$2:$I$1000,N94)="","",INDEX(Wires!$I$2:$I$1000,N94)))</f>
        <v/>
      </c>
      <c r="K94" s="11">
        <f>COUNTIF(Wires!$W$2:$W$1000,M94)+COUNTIF(Wires!$X$2:$X$1000,M94)</f>
        <v/>
      </c>
      <c r="L94" s="11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1">
        <f>A94&amp;":"&amp;B94&amp;IF(EXACT(B94,UPPER(B94)),"","|lc")</f>
        <v/>
      </c>
      <c r="N94" s="11">
        <f>IFERROR(MATCH(M94,Wires!$W$2:$W$1000,0),IFERROR(MATCH(M94,Wires!$X$2:$X$1000,0),""))</f>
        <v/>
      </c>
      <c r="O94" s="11">
        <f>IF(N94="","",IF(ISNUMBER(MATCH(M94,Wires!$W$2:$W$1000,0)),"from","to"))</f>
        <v/>
      </c>
    </row>
    <row r="95">
      <c r="A95" s="9" t="inlineStr">
        <is>
          <t>SPL BOTS-2</t>
        </is>
      </c>
      <c r="B95" s="9" t="inlineStr">
        <is>
          <t>S</t>
        </is>
      </c>
      <c r="C95" s="9" t="inlineStr">
        <is>
          <t>BOTS-2</t>
        </is>
      </c>
      <c r="D95" s="9" t="n"/>
      <c r="E95" s="9" t="n"/>
      <c r="F95" s="11">
        <f>IF(N95="","",INDEX(Wires!$A$2:$A$1000,N95))</f>
        <v/>
      </c>
      <c r="G95" s="11">
        <f>IF(N95="","",INDEX(Wires!$C$2:$C$1000,N95))</f>
        <v/>
      </c>
      <c r="H95" s="11">
        <f>IF(N95="","",IF(O95="from",INDEX(Wires!$F$2:$F$1000,N95)&amp;":"&amp;INDEX(Wires!$G$2:$G$1000,N95),INDEX(Wires!$D$2:$D$1000,N95)&amp;":"&amp;INDEX(Wires!$E$2:$E$1000,N95)))</f>
        <v/>
      </c>
      <c r="I95" s="11">
        <f>IF(N95="","",INDEX(Wires!$H$2:$H$1000,N95)&amp;"")</f>
        <v/>
      </c>
      <c r="J95" s="11">
        <f>IF(N95="","",IF(INDEX(Wires!$I$2:$I$1000,N95)="","",INDEX(Wires!$I$2:$I$1000,N95)))</f>
        <v/>
      </c>
      <c r="K95" s="11">
        <f>COUNTIF(Wires!$W$2:$W$1000,M95)+COUNTIF(Wires!$X$2:$X$1000,M95)</f>
        <v/>
      </c>
      <c r="L95" s="11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1">
        <f>A95&amp;":"&amp;B95&amp;IF(EXACT(B95,UPPER(B95)),"","|lc")</f>
        <v/>
      </c>
      <c r="N95" s="11">
        <f>IFERROR(MATCH(M95,Wires!$W$2:$W$1000,0),IFERROR(MATCH(M95,Wires!$X$2:$X$1000,0),""))</f>
        <v/>
      </c>
      <c r="O95" s="11">
        <f>IF(N95="","",IF(ISNUMBER(MATCH(M95,Wires!$W$2:$W$1000,0)),"from","to"))</f>
        <v/>
      </c>
    </row>
    <row r="96">
      <c r="A96" s="9" t="inlineStr">
        <is>
          <t>SPL RIGHT EMERGENCY-2</t>
        </is>
      </c>
      <c r="B96" s="9" t="inlineStr">
        <is>
          <t>S</t>
        </is>
      </c>
      <c r="C96" s="9" t="inlineStr">
        <is>
          <t>RIGHT EMERGENCY-2</t>
        </is>
      </c>
      <c r="D96" s="9" t="n"/>
      <c r="E96" s="9" t="n"/>
      <c r="F96" s="11">
        <f>IF(N96="","",INDEX(Wires!$A$2:$A$1000,N96))</f>
        <v/>
      </c>
      <c r="G96" s="11">
        <f>IF(N96="","",INDEX(Wires!$C$2:$C$1000,N96))</f>
        <v/>
      </c>
      <c r="H96" s="11">
        <f>IF(N96="","",IF(O96="from",INDEX(Wires!$F$2:$F$1000,N96)&amp;":"&amp;INDEX(Wires!$G$2:$G$1000,N96),INDEX(Wires!$D$2:$D$1000,N96)&amp;":"&amp;INDEX(Wires!$E$2:$E$1000,N96)))</f>
        <v/>
      </c>
      <c r="I96" s="11">
        <f>IF(N96="","",INDEX(Wires!$H$2:$H$1000,N96)&amp;"")</f>
        <v/>
      </c>
      <c r="J96" s="11">
        <f>IF(N96="","",IF(INDEX(Wires!$I$2:$I$1000,N96)="","",INDEX(Wires!$I$2:$I$1000,N96)))</f>
        <v/>
      </c>
      <c r="K96" s="11">
        <f>COUNTIF(Wires!$W$2:$W$1000,M96)+COUNTIF(Wires!$X$2:$X$1000,M96)</f>
        <v/>
      </c>
      <c r="L96" s="11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1">
        <f>A96&amp;":"&amp;B96&amp;IF(EXACT(B96,UPPER(B96)),"","|lc")</f>
        <v/>
      </c>
      <c r="N96" s="11">
        <f>IFERROR(MATCH(M96,Wires!$W$2:$W$1000,0),IFERROR(MATCH(M96,Wires!$X$2:$X$1000,0),""))</f>
        <v/>
      </c>
      <c r="O96" s="11">
        <f>IF(N96="","",IF(ISNUMBER(MATCH(M96,Wires!$W$2:$W$1000,0)),"from","to"))</f>
        <v/>
      </c>
    </row>
    <row r="97">
      <c r="A97" s="9" t="inlineStr">
        <is>
          <t>SPL LEFT EMERGENCY-1</t>
        </is>
      </c>
      <c r="B97" s="9" t="inlineStr">
        <is>
          <t>S</t>
        </is>
      </c>
      <c r="C97" s="9" t="inlineStr">
        <is>
          <t>LEFT EMERGENCY-1</t>
        </is>
      </c>
      <c r="D97" s="9" t="n"/>
      <c r="E97" s="9" t="n"/>
      <c r="F97" s="11">
        <f>IF(N97="","",INDEX(Wires!$A$2:$A$1000,N97))</f>
        <v/>
      </c>
      <c r="G97" s="11">
        <f>IF(N97="","",INDEX(Wires!$C$2:$C$1000,N97))</f>
        <v/>
      </c>
      <c r="H97" s="11">
        <f>IF(N97="","",IF(O97="from",INDEX(Wires!$F$2:$F$1000,N97)&amp;":"&amp;INDEX(Wires!$G$2:$G$1000,N97),INDEX(Wires!$D$2:$D$1000,N97)&amp;":"&amp;INDEX(Wires!$E$2:$E$1000,N97)))</f>
        <v/>
      </c>
      <c r="I97" s="11">
        <f>IF(N97="","",INDEX(Wires!$H$2:$H$1000,N97)&amp;"")</f>
        <v/>
      </c>
      <c r="J97" s="11">
        <f>IF(N97="","",IF(INDEX(Wires!$I$2:$I$1000,N97)="","",INDEX(Wires!$I$2:$I$1000,N97)))</f>
        <v/>
      </c>
      <c r="K97" s="11">
        <f>COUNTIF(Wires!$W$2:$W$1000,M97)+COUNTIF(Wires!$X$2:$X$1000,M97)</f>
        <v/>
      </c>
      <c r="L97" s="11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1">
        <f>A97&amp;":"&amp;B97&amp;IF(EXACT(B97,UPPER(B97)),"","|lc")</f>
        <v/>
      </c>
      <c r="N97" s="11">
        <f>IFERROR(MATCH(M97,Wires!$W$2:$W$1000,0),IFERROR(MATCH(M97,Wires!$X$2:$X$1000,0),""))</f>
        <v/>
      </c>
      <c r="O97" s="11">
        <f>IF(N97="","",IF(ISNUMBER(MATCH(M97,Wires!$W$2:$W$1000,0)),"from","to"))</f>
        <v/>
      </c>
    </row>
    <row r="98">
      <c r="A98" s="9" t="inlineStr">
        <is>
          <t>SPL LEFT EMERGENCY-2</t>
        </is>
      </c>
      <c r="B98" s="9" t="inlineStr">
        <is>
          <t>S</t>
        </is>
      </c>
      <c r="C98" s="9" t="inlineStr">
        <is>
          <t>LEFT EMERGENCY-2</t>
        </is>
      </c>
      <c r="D98" s="9" t="n"/>
      <c r="E98" s="9" t="n"/>
      <c r="F98" s="11">
        <f>IF(N98="","",INDEX(Wires!$A$2:$A$1000,N98))</f>
        <v/>
      </c>
      <c r="G98" s="11">
        <f>IF(N98="","",INDEX(Wires!$C$2:$C$1000,N98))</f>
        <v/>
      </c>
      <c r="H98" s="11">
        <f>IF(N98="","",IF(O98="from",INDEX(Wires!$F$2:$F$1000,N98)&amp;":"&amp;INDEX(Wires!$G$2:$G$1000,N98),INDEX(Wires!$D$2:$D$1000,N98)&amp;":"&amp;INDEX(Wires!$E$2:$E$1000,N98)))</f>
        <v/>
      </c>
      <c r="I98" s="11">
        <f>IF(N98="","",INDEX(Wires!$H$2:$H$1000,N98)&amp;"")</f>
        <v/>
      </c>
      <c r="J98" s="11">
        <f>IF(N98="","",IF(INDEX(Wires!$I$2:$I$1000,N98)="","",INDEX(Wires!$I$2:$I$1000,N98)))</f>
        <v/>
      </c>
      <c r="K98" s="11">
        <f>COUNTIF(Wires!$W$2:$W$1000,M98)+COUNTIF(Wires!$X$2:$X$1000,M98)</f>
        <v/>
      </c>
      <c r="L98" s="11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1">
        <f>A98&amp;":"&amp;B98&amp;IF(EXACT(B98,UPPER(B98)),"","|lc")</f>
        <v/>
      </c>
      <c r="N98" s="11">
        <f>IFERROR(MATCH(M98,Wires!$W$2:$W$1000,0),IFERROR(MATCH(M98,Wires!$X$2:$X$1000,0),""))</f>
        <v/>
      </c>
      <c r="O98" s="11">
        <f>IF(N98="","",IF(ISNUMBER(MATCH(M98,Wires!$W$2:$W$1000,0)),"from","to"))</f>
        <v/>
      </c>
    </row>
    <row r="99">
      <c r="A99" s="9" t="inlineStr">
        <is>
          <t>LVBOX J1</t>
        </is>
      </c>
      <c r="B99" s="9" t="inlineStr">
        <is>
          <t>B</t>
        </is>
      </c>
      <c r="C99" s="9" t="n"/>
      <c r="D99" s="9" t="n"/>
      <c r="E99" s="9" t="n"/>
      <c r="F99" s="11">
        <f>IF(N99="","",INDEX(Wires!$A$2:$A$1000,N99))</f>
        <v/>
      </c>
      <c r="G99" s="11">
        <f>IF(N99="","",INDEX(Wires!$C$2:$C$1000,N99))</f>
        <v/>
      </c>
      <c r="H99" s="11">
        <f>IF(N99="","",IF(O99="from",INDEX(Wires!$F$2:$F$1000,N99)&amp;":"&amp;INDEX(Wires!$G$2:$G$1000,N99),INDEX(Wires!$D$2:$D$1000,N99)&amp;":"&amp;INDEX(Wires!$E$2:$E$1000,N99)))</f>
        <v/>
      </c>
      <c r="I99" s="11">
        <f>IF(N99="","",INDEX(Wires!$H$2:$H$1000,N99)&amp;"")</f>
        <v/>
      </c>
      <c r="J99" s="11">
        <f>IF(N99="","",IF(INDEX(Wires!$I$2:$I$1000,N99)="","",INDEX(Wires!$I$2:$I$1000,N99)))</f>
        <v/>
      </c>
      <c r="K99" s="11">
        <f>COUNTIF(Wires!$W$2:$W$1000,M99)+COUNTIF(Wires!$X$2:$X$1000,M99)</f>
        <v/>
      </c>
      <c r="L99" s="11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1">
        <f>A99&amp;":"&amp;B99&amp;IF(EXACT(B99,UPPER(B99)),"","|lc")</f>
        <v/>
      </c>
      <c r="N99" s="11">
        <f>IFERROR(MATCH(M99,Wires!$W$2:$W$1000,0),IFERROR(MATCH(M99,Wires!$X$2:$X$1000,0),""))</f>
        <v/>
      </c>
      <c r="O99" s="11">
        <f>IF(N99="","",IF(ISNUMBER(MATCH(M99,Wires!$W$2:$W$1000,0)),"from","to"))</f>
        <v/>
      </c>
    </row>
    <row r="100">
      <c r="A100" s="9" t="inlineStr">
        <is>
          <t>ACQUISITION 1 J2</t>
        </is>
      </c>
      <c r="B100" s="9" t="inlineStr">
        <is>
          <t>6</t>
        </is>
      </c>
      <c r="C100" s="9" t="n"/>
      <c r="D100" s="9" t="n"/>
      <c r="E100" s="9" t="n"/>
      <c r="F100" s="11">
        <f>IF(N100="","",INDEX(Wires!$A$2:$A$1000,N100))</f>
        <v/>
      </c>
      <c r="G100" s="11">
        <f>IF(N100="","",INDEX(Wires!$C$2:$C$1000,N100))</f>
        <v/>
      </c>
      <c r="H100" s="11">
        <f>IF(N100="","",IF(O100="from",INDEX(Wires!$F$2:$F$1000,N100)&amp;":"&amp;INDEX(Wires!$G$2:$G$1000,N100),INDEX(Wires!$D$2:$D$1000,N100)&amp;":"&amp;INDEX(Wires!$E$2:$E$1000,N100)))</f>
        <v/>
      </c>
      <c r="I100" s="11">
        <f>IF(N100="","",INDEX(Wires!$H$2:$H$1000,N100)&amp;"")</f>
        <v/>
      </c>
      <c r="J100" s="11">
        <f>IF(N100="","",IF(INDEX(Wires!$I$2:$I$1000,N100)="","",INDEX(Wires!$I$2:$I$1000,N100)))</f>
        <v/>
      </c>
      <c r="K100" s="11">
        <f>COUNTIF(Wires!$W$2:$W$1000,M100)+COUNTIF(Wires!$X$2:$X$1000,M100)</f>
        <v/>
      </c>
      <c r="L100" s="11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1">
        <f>A100&amp;":"&amp;B100&amp;IF(EXACT(B100,UPPER(B100)),"","|lc")</f>
        <v/>
      </c>
      <c r="N100" s="11">
        <f>IFERROR(MATCH(M100,Wires!$W$2:$W$1000,0),IFERROR(MATCH(M100,Wires!$X$2:$X$1000,0),""))</f>
        <v/>
      </c>
      <c r="O100" s="11">
        <f>IF(N100="","",IF(ISNUMBER(MATCH(M100,Wires!$W$2:$W$1000,0)),"from","to"))</f>
        <v/>
      </c>
    </row>
    <row r="101">
      <c r="A101" s="9" t="inlineStr">
        <is>
          <t>PDM J2</t>
        </is>
      </c>
      <c r="B101" s="9" t="inlineStr">
        <is>
          <t>4</t>
        </is>
      </c>
      <c r="C101" s="9" t="n"/>
      <c r="D101" s="9" t="n"/>
      <c r="E101" s="9" t="n"/>
      <c r="F101" s="11">
        <f>IF(N101="","",INDEX(Wires!$A$2:$A$1000,N101))</f>
        <v/>
      </c>
      <c r="G101" s="11">
        <f>IF(N101="","",INDEX(Wires!$C$2:$C$1000,N101))</f>
        <v/>
      </c>
      <c r="H101" s="11">
        <f>IF(N101="","",IF(O101="from",INDEX(Wires!$F$2:$F$1000,N101)&amp;":"&amp;INDEX(Wires!$G$2:$G$1000,N101),INDEX(Wires!$D$2:$D$1000,N101)&amp;":"&amp;INDEX(Wires!$E$2:$E$1000,N101)))</f>
        <v/>
      </c>
      <c r="I101" s="11">
        <f>IF(N101="","",INDEX(Wires!$H$2:$H$1000,N101)&amp;"")</f>
        <v/>
      </c>
      <c r="J101" s="11">
        <f>IF(N101="","",IF(INDEX(Wires!$I$2:$I$1000,N101)="","",INDEX(Wires!$I$2:$I$1000,N101)))</f>
        <v/>
      </c>
      <c r="K101" s="11">
        <f>COUNTIF(Wires!$W$2:$W$1000,M101)+COUNTIF(Wires!$X$2:$X$1000,M101)</f>
        <v/>
      </c>
      <c r="L101" s="11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1">
        <f>A101&amp;":"&amp;B101&amp;IF(EXACT(B101,UPPER(B101)),"","|lc")</f>
        <v/>
      </c>
      <c r="N101" s="11">
        <f>IFERROR(MATCH(M101,Wires!$W$2:$W$1000,0),IFERROR(MATCH(M101,Wires!$X$2:$X$1000,0),""))</f>
        <v/>
      </c>
      <c r="O101" s="11">
        <f>IF(N101="","",IF(ISNUMBER(MATCH(M101,Wires!$W$2:$W$1000,0)),"from","to"))</f>
        <v/>
      </c>
    </row>
    <row r="102">
      <c r="A102" s="9" t="inlineStr">
        <is>
          <t>ACQUISITION 1 J2</t>
        </is>
      </c>
      <c r="B102" s="9" t="inlineStr">
        <is>
          <t>8</t>
        </is>
      </c>
      <c r="C102" s="9" t="n"/>
      <c r="D102" s="9" t="n"/>
      <c r="E102" s="9" t="n"/>
      <c r="F102" s="11">
        <f>IF(N102="","",INDEX(Wires!$A$2:$A$1000,N102))</f>
        <v/>
      </c>
      <c r="G102" s="11">
        <f>IF(N102="","",INDEX(Wires!$C$2:$C$1000,N102))</f>
        <v/>
      </c>
      <c r="H102" s="11">
        <f>IF(N102="","",IF(O102="from",INDEX(Wires!$F$2:$F$1000,N102)&amp;":"&amp;INDEX(Wires!$G$2:$G$1000,N102),INDEX(Wires!$D$2:$D$1000,N102)&amp;":"&amp;INDEX(Wires!$E$2:$E$1000,N102)))</f>
        <v/>
      </c>
      <c r="I102" s="11">
        <f>IF(N102="","",INDEX(Wires!$H$2:$H$1000,N102)&amp;"")</f>
        <v/>
      </c>
      <c r="J102" s="11">
        <f>IF(N102="","",IF(INDEX(Wires!$I$2:$I$1000,N102)="","",INDEX(Wires!$I$2:$I$1000,N102)))</f>
        <v/>
      </c>
      <c r="K102" s="11">
        <f>COUNTIF(Wires!$W$2:$W$1000,M102)+COUNTIF(Wires!$X$2:$X$1000,M102)</f>
        <v/>
      </c>
      <c r="L102" s="11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1">
        <f>A102&amp;":"&amp;B102&amp;IF(EXACT(B102,UPPER(B102)),"","|lc")</f>
        <v/>
      </c>
      <c r="N102" s="11">
        <f>IFERROR(MATCH(M102,Wires!$W$2:$W$1000,0),IFERROR(MATCH(M102,Wires!$X$2:$X$1000,0),""))</f>
        <v/>
      </c>
      <c r="O102" s="11">
        <f>IF(N102="","",IF(ISNUMBER(MATCH(M102,Wires!$W$2:$W$1000,0)),"from","to"))</f>
        <v/>
      </c>
    </row>
    <row r="103">
      <c r="A103" s="9" t="inlineStr">
        <is>
          <t>DATABOX J2</t>
        </is>
      </c>
      <c r="B103" s="9" t="inlineStr">
        <is>
          <t>D</t>
        </is>
      </c>
      <c r="C103" s="9" t="n"/>
      <c r="D103" s="9" t="n"/>
      <c r="E103" s="9" t="n"/>
      <c r="F103" s="11">
        <f>IF(N103="","",INDEX(Wires!$A$2:$A$1000,N103))</f>
        <v/>
      </c>
      <c r="G103" s="11">
        <f>IF(N103="","",INDEX(Wires!$C$2:$C$1000,N103))</f>
        <v/>
      </c>
      <c r="H103" s="11">
        <f>IF(N103="","",IF(O103="from",INDEX(Wires!$F$2:$F$1000,N103)&amp;":"&amp;INDEX(Wires!$G$2:$G$1000,N103),INDEX(Wires!$D$2:$D$1000,N103)&amp;":"&amp;INDEX(Wires!$E$2:$E$1000,N103)))</f>
        <v/>
      </c>
      <c r="I103" s="11">
        <f>IF(N103="","",INDEX(Wires!$H$2:$H$1000,N103)&amp;"")</f>
        <v/>
      </c>
      <c r="J103" s="11">
        <f>IF(N103="","",IF(INDEX(Wires!$I$2:$I$1000,N103)="","",INDEX(Wires!$I$2:$I$1000,N103)))</f>
        <v/>
      </c>
      <c r="K103" s="11">
        <f>COUNTIF(Wires!$W$2:$W$1000,M103)+COUNTIF(Wires!$X$2:$X$1000,M103)</f>
        <v/>
      </c>
      <c r="L103" s="11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1">
        <f>A103&amp;":"&amp;B103&amp;IF(EXACT(B103,UPPER(B103)),"","|lc")</f>
        <v/>
      </c>
      <c r="N103" s="11">
        <f>IFERROR(MATCH(M103,Wires!$W$2:$W$1000,0),IFERROR(MATCH(M103,Wires!$X$2:$X$1000,0),""))</f>
        <v/>
      </c>
      <c r="O103" s="11">
        <f>IF(N103="","",IF(ISNUMBER(MATCH(M103,Wires!$W$2:$W$1000,0)),"from","to"))</f>
        <v/>
      </c>
    </row>
    <row r="104">
      <c r="A104" s="9" t="inlineStr">
        <is>
          <t>DATABOX J2</t>
        </is>
      </c>
      <c r="B104" s="9" t="inlineStr">
        <is>
          <t>E</t>
        </is>
      </c>
      <c r="C104" s="9" t="n"/>
      <c r="D104" s="9" t="n"/>
      <c r="E104" s="9" t="n"/>
      <c r="F104" s="11">
        <f>IF(N104="","",INDEX(Wires!$A$2:$A$1000,N104))</f>
        <v/>
      </c>
      <c r="G104" s="11">
        <f>IF(N104="","",INDEX(Wires!$C$2:$C$1000,N104))</f>
        <v/>
      </c>
      <c r="H104" s="11">
        <f>IF(N104="","",IF(O104="from",INDEX(Wires!$F$2:$F$1000,N104)&amp;":"&amp;INDEX(Wires!$G$2:$G$1000,N104),INDEX(Wires!$D$2:$D$1000,N104)&amp;":"&amp;INDEX(Wires!$E$2:$E$1000,N104)))</f>
        <v/>
      </c>
      <c r="I104" s="11">
        <f>IF(N104="","",INDEX(Wires!$H$2:$H$1000,N104)&amp;"")</f>
        <v/>
      </c>
      <c r="J104" s="11">
        <f>IF(N104="","",IF(INDEX(Wires!$I$2:$I$1000,N104)="","",INDEX(Wires!$I$2:$I$1000,N104)))</f>
        <v/>
      </c>
      <c r="K104" s="11">
        <f>COUNTIF(Wires!$W$2:$W$1000,M104)+COUNTIF(Wires!$X$2:$X$1000,M104)</f>
        <v/>
      </c>
      <c r="L104" s="11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1">
        <f>A104&amp;":"&amp;B104&amp;IF(EXACT(B104,UPPER(B104)),"","|lc")</f>
        <v/>
      </c>
      <c r="N104" s="11">
        <f>IFERROR(MATCH(M104,Wires!$W$2:$W$1000,0),IFERROR(MATCH(M104,Wires!$X$2:$X$1000,0),""))</f>
        <v/>
      </c>
      <c r="O104" s="11">
        <f>IF(N104="","",IF(ISNUMBER(MATCH(M104,Wires!$W$2:$W$1000,0)),"from","to"))</f>
        <v/>
      </c>
    </row>
    <row r="105">
      <c r="A105" s="9" t="inlineStr">
        <is>
          <t>LVBOX J2</t>
        </is>
      </c>
      <c r="B105" s="9" t="inlineStr">
        <is>
          <t>K</t>
        </is>
      </c>
      <c r="C105" s="9" t="n"/>
      <c r="D105" s="9" t="n"/>
      <c r="E105" s="9" t="n"/>
      <c r="F105" s="11">
        <f>IF(N105="","",INDEX(Wires!$A$2:$A$1000,N105))</f>
        <v/>
      </c>
      <c r="G105" s="11">
        <f>IF(N105="","",INDEX(Wires!$C$2:$C$1000,N105))</f>
        <v/>
      </c>
      <c r="H105" s="11">
        <f>IF(N105="","",IF(O105="from",INDEX(Wires!$F$2:$F$1000,N105)&amp;":"&amp;INDEX(Wires!$G$2:$G$1000,N105),INDEX(Wires!$D$2:$D$1000,N105)&amp;":"&amp;INDEX(Wires!$E$2:$E$1000,N105)))</f>
        <v/>
      </c>
      <c r="I105" s="11">
        <f>IF(N105="","",INDEX(Wires!$H$2:$H$1000,N105)&amp;"")</f>
        <v/>
      </c>
      <c r="J105" s="11">
        <f>IF(N105="","",IF(INDEX(Wires!$I$2:$I$1000,N105)="","",INDEX(Wires!$I$2:$I$1000,N105)))</f>
        <v/>
      </c>
      <c r="K105" s="11">
        <f>COUNTIF(Wires!$W$2:$W$1000,M105)+COUNTIF(Wires!$X$2:$X$1000,M105)</f>
        <v/>
      </c>
      <c r="L105" s="11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1">
        <f>A105&amp;":"&amp;B105&amp;IF(EXACT(B105,UPPER(B105)),"","|lc")</f>
        <v/>
      </c>
      <c r="N105" s="11">
        <f>IFERROR(MATCH(M105,Wires!$W$2:$W$1000,0),IFERROR(MATCH(M105,Wires!$X$2:$X$1000,0),""))</f>
        <v/>
      </c>
      <c r="O105" s="11">
        <f>IF(N105="","",IF(ISNUMBER(MATCH(M105,Wires!$W$2:$W$1000,0)),"from","to"))</f>
        <v/>
      </c>
    </row>
    <row r="106">
      <c r="A106" s="9" t="inlineStr">
        <is>
          <t>SIDE PANEL</t>
        </is>
      </c>
      <c r="B106" s="9" t="inlineStr">
        <is>
          <t>K</t>
        </is>
      </c>
      <c r="C106" s="9" t="n"/>
      <c r="D106" s="9" t="n"/>
      <c r="E106" s="9" t="n"/>
      <c r="F106" s="11">
        <f>IF(N106="","",INDEX(Wires!$A$2:$A$1000,N106))</f>
        <v/>
      </c>
      <c r="G106" s="11">
        <f>IF(N106="","",INDEX(Wires!$C$2:$C$1000,N106))</f>
        <v/>
      </c>
      <c r="H106" s="11">
        <f>IF(N106="","",IF(O106="from",INDEX(Wires!$F$2:$F$1000,N106)&amp;":"&amp;INDEX(Wires!$G$2:$G$1000,N106),INDEX(Wires!$D$2:$D$1000,N106)&amp;":"&amp;INDEX(Wires!$E$2:$E$1000,N106)))</f>
        <v/>
      </c>
      <c r="I106" s="11">
        <f>IF(N106="","",INDEX(Wires!$H$2:$H$1000,N106)&amp;"")</f>
        <v/>
      </c>
      <c r="J106" s="11">
        <f>IF(N106="","",IF(INDEX(Wires!$I$2:$I$1000,N106)="","",INDEX(Wires!$I$2:$I$1000,N106)))</f>
        <v/>
      </c>
      <c r="K106" s="11">
        <f>COUNTIF(Wires!$W$2:$W$1000,M106)+COUNTIF(Wires!$X$2:$X$1000,M106)</f>
        <v/>
      </c>
      <c r="L106" s="11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1">
        <f>A106&amp;":"&amp;B106&amp;IF(EXACT(B106,UPPER(B106)),"","|lc")</f>
        <v/>
      </c>
      <c r="N106" s="11">
        <f>IFERROR(MATCH(M106,Wires!$W$2:$W$1000,0),IFERROR(MATCH(M106,Wires!$X$2:$X$1000,0),""))</f>
        <v/>
      </c>
      <c r="O106" s="11">
        <f>IF(N106="","",IF(ISNUMBER(MATCH(M106,Wires!$W$2:$W$1000,0)),"from","to"))</f>
        <v/>
      </c>
    </row>
    <row r="107">
      <c r="A107" s="9" t="inlineStr">
        <is>
          <t>SIDE PANEL J1</t>
        </is>
      </c>
      <c r="B107" s="9" t="inlineStr">
        <is>
          <t>L</t>
        </is>
      </c>
      <c r="C107" s="9" t="n"/>
      <c r="D107" s="9" t="n"/>
      <c r="E107" s="9" t="n"/>
      <c r="F107" s="11">
        <f>IF(N107="","",INDEX(Wires!$A$2:$A$1000,N107))</f>
        <v/>
      </c>
      <c r="G107" s="11">
        <f>IF(N107="","",INDEX(Wires!$C$2:$C$1000,N107))</f>
        <v/>
      </c>
      <c r="H107" s="11">
        <f>IF(N107="","",IF(O107="from",INDEX(Wires!$F$2:$F$1000,N107)&amp;":"&amp;INDEX(Wires!$G$2:$G$1000,N107),INDEX(Wires!$D$2:$D$1000,N107)&amp;":"&amp;INDEX(Wires!$E$2:$E$1000,N107)))</f>
        <v/>
      </c>
      <c r="I107" s="11">
        <f>IF(N107="","",INDEX(Wires!$H$2:$H$1000,N107)&amp;"")</f>
        <v/>
      </c>
      <c r="J107" s="11">
        <f>IF(N107="","",IF(INDEX(Wires!$I$2:$I$1000,N107)="","",INDEX(Wires!$I$2:$I$1000,N107)))</f>
        <v/>
      </c>
      <c r="K107" s="11">
        <f>COUNTIF(Wires!$W$2:$W$1000,M107)+COUNTIF(Wires!$X$2:$X$1000,M107)</f>
        <v/>
      </c>
      <c r="L107" s="11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1">
        <f>A107&amp;":"&amp;B107&amp;IF(EXACT(B107,UPPER(B107)),"","|lc")</f>
        <v/>
      </c>
      <c r="N107" s="11">
        <f>IFERROR(MATCH(M107,Wires!$W$2:$W$1000,0),IFERROR(MATCH(M107,Wires!$X$2:$X$1000,0),""))</f>
        <v/>
      </c>
      <c r="O107" s="11">
        <f>IF(N107="","",IF(ISNUMBER(MATCH(M107,Wires!$W$2:$W$1000,0)),"from","to"))</f>
        <v/>
      </c>
    </row>
    <row r="108">
      <c r="A108" s="9" t="inlineStr">
        <is>
          <t>LVBOX J2</t>
        </is>
      </c>
      <c r="B108" s="9" t="inlineStr">
        <is>
          <t>H</t>
        </is>
      </c>
      <c r="C108" s="9" t="n"/>
      <c r="D108" s="9" t="n"/>
      <c r="E108" s="9" t="n"/>
      <c r="F108" s="11">
        <f>IF(N108="","",INDEX(Wires!$A$2:$A$1000,N108))</f>
        <v/>
      </c>
      <c r="G108" s="11">
        <f>IF(N108="","",INDEX(Wires!$C$2:$C$1000,N108))</f>
        <v/>
      </c>
      <c r="H108" s="11">
        <f>IF(N108="","",IF(O108="from",INDEX(Wires!$F$2:$F$1000,N108)&amp;":"&amp;INDEX(Wires!$G$2:$G$1000,N108),INDEX(Wires!$D$2:$D$1000,N108)&amp;":"&amp;INDEX(Wires!$E$2:$E$1000,N108)))</f>
        <v/>
      </c>
      <c r="I108" s="11">
        <f>IF(N108="","",INDEX(Wires!$H$2:$H$1000,N108)&amp;"")</f>
        <v/>
      </c>
      <c r="J108" s="11">
        <f>IF(N108="","",IF(INDEX(Wires!$I$2:$I$1000,N108)="","",INDEX(Wires!$I$2:$I$1000,N108)))</f>
        <v/>
      </c>
      <c r="K108" s="11">
        <f>COUNTIF(Wires!$W$2:$W$1000,M108)+COUNTIF(Wires!$X$2:$X$1000,M108)</f>
        <v/>
      </c>
      <c r="L108" s="11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1">
        <f>A108&amp;":"&amp;B108&amp;IF(EXACT(B108,UPPER(B108)),"","|lc")</f>
        <v/>
      </c>
      <c r="N108" s="11">
        <f>IFERROR(MATCH(M108,Wires!$W$2:$W$1000,0),IFERROR(MATCH(M108,Wires!$X$2:$X$1000,0),""))</f>
        <v/>
      </c>
      <c r="O108" s="11">
        <f>IF(N108="","",IF(ISNUMBER(MATCH(M108,Wires!$W$2:$W$1000,0)),"from","to"))</f>
        <v/>
      </c>
    </row>
    <row r="109">
      <c r="A109" s="9" t="inlineStr">
        <is>
          <t>LVBOX J2</t>
        </is>
      </c>
      <c r="B109" s="9" t="inlineStr">
        <is>
          <t>L</t>
        </is>
      </c>
      <c r="C109" s="9" t="n"/>
      <c r="D109" s="9" t="n"/>
      <c r="E109" s="9" t="n"/>
      <c r="F109" s="11">
        <f>IF(N109="","",INDEX(Wires!$A$2:$A$1000,N109))</f>
        <v/>
      </c>
      <c r="G109" s="11">
        <f>IF(N109="","",INDEX(Wires!$C$2:$C$1000,N109))</f>
        <v/>
      </c>
      <c r="H109" s="11">
        <f>IF(N109="","",IF(O109="from",INDEX(Wires!$F$2:$F$1000,N109)&amp;":"&amp;INDEX(Wires!$G$2:$G$1000,N109),INDEX(Wires!$D$2:$D$1000,N109)&amp;":"&amp;INDEX(Wires!$E$2:$E$1000,N109)))</f>
        <v/>
      </c>
      <c r="I109" s="11">
        <f>IF(N109="","",INDEX(Wires!$H$2:$H$1000,N109)&amp;"")</f>
        <v/>
      </c>
      <c r="J109" s="11">
        <f>IF(N109="","",IF(INDEX(Wires!$I$2:$I$1000,N109)="","",INDEX(Wires!$I$2:$I$1000,N109)))</f>
        <v/>
      </c>
      <c r="K109" s="11">
        <f>COUNTIF(Wires!$W$2:$W$1000,M109)+COUNTIF(Wires!$X$2:$X$1000,M109)</f>
        <v/>
      </c>
      <c r="L109" s="11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1">
        <f>A109&amp;":"&amp;B109&amp;IF(EXACT(B109,UPPER(B109)),"","|lc")</f>
        <v/>
      </c>
      <c r="N109" s="11">
        <f>IFERROR(MATCH(M109,Wires!$W$2:$W$1000,0),IFERROR(MATCH(M109,Wires!$X$2:$X$1000,0),""))</f>
        <v/>
      </c>
      <c r="O109" s="11">
        <f>IF(N109="","",IF(ISNUMBER(MATCH(M109,Wires!$W$2:$W$1000,0)),"from","to"))</f>
        <v/>
      </c>
    </row>
    <row r="110">
      <c r="A110" s="9" t="inlineStr">
        <is>
          <t>JBOX J1</t>
        </is>
      </c>
      <c r="B110" s="9" t="inlineStr">
        <is>
          <t>P</t>
        </is>
      </c>
      <c r="C110" s="9" t="n"/>
      <c r="D110" s="9" t="n"/>
      <c r="E110" s="9" t="n"/>
      <c r="F110" s="11">
        <f>IF(N110="","",INDEX(Wires!$A$2:$A$1000,N110))</f>
        <v/>
      </c>
      <c r="G110" s="11">
        <f>IF(N110="","",INDEX(Wires!$C$2:$C$1000,N110))</f>
        <v/>
      </c>
      <c r="H110" s="11">
        <f>IF(N110="","",IF(O110="from",INDEX(Wires!$F$2:$F$1000,N110)&amp;":"&amp;INDEX(Wires!$G$2:$G$1000,N110),INDEX(Wires!$D$2:$D$1000,N110)&amp;":"&amp;INDEX(Wires!$E$2:$E$1000,N110)))</f>
        <v/>
      </c>
      <c r="I110" s="11">
        <f>IF(N110="","",INDEX(Wires!$H$2:$H$1000,N110)&amp;"")</f>
        <v/>
      </c>
      <c r="J110" s="11">
        <f>IF(N110="","",IF(INDEX(Wires!$I$2:$I$1000,N110)="","",INDEX(Wires!$I$2:$I$1000,N110)))</f>
        <v/>
      </c>
      <c r="K110" s="11">
        <f>COUNTIF(Wires!$W$2:$W$1000,M110)+COUNTIF(Wires!$X$2:$X$1000,M110)</f>
        <v/>
      </c>
      <c r="L110" s="11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1">
        <f>A110&amp;":"&amp;B110&amp;IF(EXACT(B110,UPPER(B110)),"","|lc")</f>
        <v/>
      </c>
      <c r="N110" s="11">
        <f>IFERROR(MATCH(M110,Wires!$W$2:$W$1000,0),IFERROR(MATCH(M110,Wires!$X$2:$X$1000,0),""))</f>
        <v/>
      </c>
      <c r="O110" s="11">
        <f>IF(N110="","",IF(ISNUMBER(MATCH(M110,Wires!$W$2:$W$1000,0)),"from","to"))</f>
        <v/>
      </c>
    </row>
    <row r="111">
      <c r="A111" s="9" t="inlineStr">
        <is>
          <t>PDM J1</t>
        </is>
      </c>
      <c r="B111" s="9" t="inlineStr">
        <is>
          <t>7</t>
        </is>
      </c>
      <c r="C111" s="9" t="n"/>
      <c r="D111" s="9" t="n"/>
      <c r="E111" s="9" t="n"/>
      <c r="F111" s="11">
        <f>IF(N111="","",INDEX(Wires!$A$2:$A$1000,N111))</f>
        <v/>
      </c>
      <c r="G111" s="11">
        <f>IF(N111="","",INDEX(Wires!$C$2:$C$1000,N111))</f>
        <v/>
      </c>
      <c r="H111" s="11">
        <f>IF(N111="","",IF(O111="from",INDEX(Wires!$F$2:$F$1000,N111)&amp;":"&amp;INDEX(Wires!$G$2:$G$1000,N111),INDEX(Wires!$D$2:$D$1000,N111)&amp;":"&amp;INDEX(Wires!$E$2:$E$1000,N111)))</f>
        <v/>
      </c>
      <c r="I111" s="11">
        <f>IF(N111="","",INDEX(Wires!$H$2:$H$1000,N111)&amp;"")</f>
        <v/>
      </c>
      <c r="J111" s="11">
        <f>IF(N111="","",IF(INDEX(Wires!$I$2:$I$1000,N111)="","",INDEX(Wires!$I$2:$I$1000,N111)))</f>
        <v/>
      </c>
      <c r="K111" s="11">
        <f>COUNTIF(Wires!$W$2:$W$1000,M111)+COUNTIF(Wires!$X$2:$X$1000,M111)</f>
        <v/>
      </c>
      <c r="L111" s="11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1">
        <f>A111&amp;":"&amp;B111&amp;IF(EXACT(B111,UPPER(B111)),"","|lc")</f>
        <v/>
      </c>
      <c r="N111" s="11">
        <f>IFERROR(MATCH(M111,Wires!$W$2:$W$1000,0),IFERROR(MATCH(M111,Wires!$X$2:$X$1000,0),""))</f>
        <v/>
      </c>
      <c r="O111" s="11">
        <f>IF(N111="","",IF(ISNUMBER(MATCH(M111,Wires!$W$2:$W$1000,0)),"from","to"))</f>
        <v/>
      </c>
    </row>
    <row r="112">
      <c r="A112" s="9" t="inlineStr">
        <is>
          <t>ACQUISITION 1 J1</t>
        </is>
      </c>
      <c r="B112" s="9" t="inlineStr">
        <is>
          <t>4</t>
        </is>
      </c>
      <c r="C112" s="9" t="n"/>
      <c r="D112" s="9" t="n"/>
      <c r="E112" s="9" t="n"/>
      <c r="F112" s="11">
        <f>IF(N112="","",INDEX(Wires!$A$2:$A$1000,N112))</f>
        <v/>
      </c>
      <c r="G112" s="11">
        <f>IF(N112="","",INDEX(Wires!$C$2:$C$1000,N112))</f>
        <v/>
      </c>
      <c r="H112" s="11">
        <f>IF(N112="","",IF(O112="from",INDEX(Wires!$F$2:$F$1000,N112)&amp;":"&amp;INDEX(Wires!$G$2:$G$1000,N112),INDEX(Wires!$D$2:$D$1000,N112)&amp;":"&amp;INDEX(Wires!$E$2:$E$1000,N112)))</f>
        <v/>
      </c>
      <c r="I112" s="11">
        <f>IF(N112="","",INDEX(Wires!$H$2:$H$1000,N112)&amp;"")</f>
        <v/>
      </c>
      <c r="J112" s="11">
        <f>IF(N112="","",IF(INDEX(Wires!$I$2:$I$1000,N112)="","",INDEX(Wires!$I$2:$I$1000,N112)))</f>
        <v/>
      </c>
      <c r="K112" s="11">
        <f>COUNTIF(Wires!$W$2:$W$1000,M112)+COUNTIF(Wires!$X$2:$X$1000,M112)</f>
        <v/>
      </c>
      <c r="L112" s="11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1">
        <f>A112&amp;":"&amp;B112&amp;IF(EXACT(B112,UPPER(B112)),"","|lc")</f>
        <v/>
      </c>
      <c r="N112" s="11">
        <f>IFERROR(MATCH(M112,Wires!$W$2:$W$1000,0),IFERROR(MATCH(M112,Wires!$X$2:$X$1000,0),""))</f>
        <v/>
      </c>
      <c r="O112" s="11">
        <f>IF(N112="","",IF(ISNUMBER(MATCH(M112,Wires!$W$2:$W$1000,0)),"from","to"))</f>
        <v/>
      </c>
    </row>
    <row r="113">
      <c r="A113" s="9" t="inlineStr">
        <is>
          <t>ACQUISITION 1 J1</t>
        </is>
      </c>
      <c r="B113" s="9" t="inlineStr">
        <is>
          <t>6</t>
        </is>
      </c>
      <c r="C113" s="9" t="n"/>
      <c r="D113" s="9" t="n"/>
      <c r="E113" s="9" t="n"/>
      <c r="F113" s="11">
        <f>IF(N113="","",INDEX(Wires!$A$2:$A$1000,N113))</f>
        <v/>
      </c>
      <c r="G113" s="11">
        <f>IF(N113="","",INDEX(Wires!$C$2:$C$1000,N113))</f>
        <v/>
      </c>
      <c r="H113" s="11">
        <f>IF(N113="","",IF(O113="from",INDEX(Wires!$F$2:$F$1000,N113)&amp;":"&amp;INDEX(Wires!$G$2:$G$1000,N113),INDEX(Wires!$D$2:$D$1000,N113)&amp;":"&amp;INDEX(Wires!$E$2:$E$1000,N113)))</f>
        <v/>
      </c>
      <c r="I113" s="11">
        <f>IF(N113="","",INDEX(Wires!$H$2:$H$1000,N113)&amp;"")</f>
        <v/>
      </c>
      <c r="J113" s="11">
        <f>IF(N113="","",IF(INDEX(Wires!$I$2:$I$1000,N113)="","",INDEX(Wires!$I$2:$I$1000,N113)))</f>
        <v/>
      </c>
      <c r="K113" s="11">
        <f>COUNTIF(Wires!$W$2:$W$1000,M113)+COUNTIF(Wires!$X$2:$X$1000,M113)</f>
        <v/>
      </c>
      <c r="L113" s="11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1">
        <f>A113&amp;":"&amp;B113&amp;IF(EXACT(B113,UPPER(B113)),"","|lc")</f>
        <v/>
      </c>
      <c r="N113" s="11">
        <f>IFERROR(MATCH(M113,Wires!$W$2:$W$1000,0),IFERROR(MATCH(M113,Wires!$X$2:$X$1000,0),""))</f>
        <v/>
      </c>
      <c r="O113" s="11">
        <f>IF(N113="","",IF(ISNUMBER(MATCH(M113,Wires!$W$2:$W$1000,0)),"from","to"))</f>
        <v/>
      </c>
    </row>
    <row r="114">
      <c r="A114" s="9" t="inlineStr">
        <is>
          <t>ACQUISITION 1 J1</t>
        </is>
      </c>
      <c r="B114" s="9" t="inlineStr">
        <is>
          <t>3</t>
        </is>
      </c>
      <c r="C114" s="9" t="n"/>
      <c r="D114" s="9" t="n"/>
      <c r="E114" s="9" t="n"/>
      <c r="F114" s="11">
        <f>IF(N114="","",INDEX(Wires!$A$2:$A$1000,N114))</f>
        <v/>
      </c>
      <c r="G114" s="11">
        <f>IF(N114="","",INDEX(Wires!$C$2:$C$1000,N114))</f>
        <v/>
      </c>
      <c r="H114" s="11">
        <f>IF(N114="","",IF(O114="from",INDEX(Wires!$F$2:$F$1000,N114)&amp;":"&amp;INDEX(Wires!$G$2:$G$1000,N114),INDEX(Wires!$D$2:$D$1000,N114)&amp;":"&amp;INDEX(Wires!$E$2:$E$1000,N114)))</f>
        <v/>
      </c>
      <c r="I114" s="11">
        <f>IF(N114="","",INDEX(Wires!$H$2:$H$1000,N114)&amp;"")</f>
        <v/>
      </c>
      <c r="J114" s="11">
        <f>IF(N114="","",IF(INDEX(Wires!$I$2:$I$1000,N114)="","",INDEX(Wires!$I$2:$I$1000,N114)))</f>
        <v/>
      </c>
      <c r="K114" s="11">
        <f>COUNTIF(Wires!$W$2:$W$1000,M114)+COUNTIF(Wires!$X$2:$X$1000,M114)</f>
        <v/>
      </c>
      <c r="L114" s="11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1">
        <f>A114&amp;":"&amp;B114&amp;IF(EXACT(B114,UPPER(B114)),"","|lc")</f>
        <v/>
      </c>
      <c r="N114" s="11">
        <f>IFERROR(MATCH(M114,Wires!$W$2:$W$1000,0),IFERROR(MATCH(M114,Wires!$X$2:$X$1000,0),""))</f>
        <v/>
      </c>
      <c r="O114" s="11">
        <f>IF(N114="","",IF(ISNUMBER(MATCH(M114,Wires!$W$2:$W$1000,0)),"from","to"))</f>
        <v/>
      </c>
    </row>
    <row r="115">
      <c r="A115" s="9" t="inlineStr">
        <is>
          <t>ACQUISITION 1 J1</t>
        </is>
      </c>
      <c r="B115" s="9" t="inlineStr">
        <is>
          <t>5</t>
        </is>
      </c>
      <c r="C115" s="9" t="n"/>
      <c r="D115" s="9" t="n"/>
      <c r="E115" s="9" t="n"/>
      <c r="F115" s="11">
        <f>IF(N115="","",INDEX(Wires!$A$2:$A$1000,N115))</f>
        <v/>
      </c>
      <c r="G115" s="11">
        <f>IF(N115="","",INDEX(Wires!$C$2:$C$1000,N115))</f>
        <v/>
      </c>
      <c r="H115" s="11">
        <f>IF(N115="","",IF(O115="from",INDEX(Wires!$F$2:$F$1000,N115)&amp;":"&amp;INDEX(Wires!$G$2:$G$1000,N115),INDEX(Wires!$D$2:$D$1000,N115)&amp;":"&amp;INDEX(Wires!$E$2:$E$1000,N115)))</f>
        <v/>
      </c>
      <c r="I115" s="11">
        <f>IF(N115="","",INDEX(Wires!$H$2:$H$1000,N115)&amp;"")</f>
        <v/>
      </c>
      <c r="J115" s="11">
        <f>IF(N115="","",IF(INDEX(Wires!$I$2:$I$1000,N115)="","",INDEX(Wires!$I$2:$I$1000,N115)))</f>
        <v/>
      </c>
      <c r="K115" s="11">
        <f>COUNTIF(Wires!$W$2:$W$1000,M115)+COUNTIF(Wires!$X$2:$X$1000,M115)</f>
        <v/>
      </c>
      <c r="L115" s="11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1">
        <f>A115&amp;":"&amp;B115&amp;IF(EXACT(B115,UPPER(B115)),"","|lc")</f>
        <v/>
      </c>
      <c r="N115" s="11">
        <f>IFERROR(MATCH(M115,Wires!$W$2:$W$1000,0),IFERROR(MATCH(M115,Wires!$X$2:$X$1000,0),""))</f>
        <v/>
      </c>
      <c r="O115" s="11">
        <f>IF(N115="","",IF(ISNUMBER(MATCH(M115,Wires!$W$2:$W$1000,0)),"from","to"))</f>
        <v/>
      </c>
    </row>
    <row r="116">
      <c r="A116" s="9" t="inlineStr">
        <is>
          <t>TS ON LED J1</t>
        </is>
      </c>
      <c r="B116" s="9" t="inlineStr">
        <is>
          <t>Aos LEDS</t>
        </is>
      </c>
      <c r="C116" s="9" t="n"/>
      <c r="D116" s="9" t="n"/>
      <c r="E116" s="9" t="n"/>
      <c r="F116" s="11">
        <f>IF(N116="","",INDEX(Wires!$A$2:$A$1000,N116))</f>
        <v/>
      </c>
      <c r="G116" s="11">
        <f>IF(N116="","",INDEX(Wires!$C$2:$C$1000,N116))</f>
        <v/>
      </c>
      <c r="H116" s="11">
        <f>IF(N116="","",IF(O116="from",INDEX(Wires!$F$2:$F$1000,N116)&amp;":"&amp;INDEX(Wires!$G$2:$G$1000,N116),INDEX(Wires!$D$2:$D$1000,N116)&amp;":"&amp;INDEX(Wires!$E$2:$E$1000,N116)))</f>
        <v/>
      </c>
      <c r="I116" s="11">
        <f>IF(N116="","",INDEX(Wires!$H$2:$H$1000,N116)&amp;"")</f>
        <v/>
      </c>
      <c r="J116" s="11">
        <f>IF(N116="","",IF(INDEX(Wires!$I$2:$I$1000,N116)="","",INDEX(Wires!$I$2:$I$1000,N116)))</f>
        <v/>
      </c>
      <c r="K116" s="11">
        <f>COUNTIF(Wires!$W$2:$W$1000,M116)+COUNTIF(Wires!$X$2:$X$1000,M116)</f>
        <v/>
      </c>
      <c r="L116" s="11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1">
        <f>A116&amp;":"&amp;B116&amp;IF(EXACT(B116,UPPER(B116)),"","|lc")</f>
        <v/>
      </c>
      <c r="N116" s="11">
        <f>IFERROR(MATCH(M116,Wires!$W$2:$W$1000,0),IFERROR(MATCH(M116,Wires!$X$2:$X$1000,0),""))</f>
        <v/>
      </c>
      <c r="O116" s="11">
        <f>IF(N116="","",IF(ISNUMBER(MATCH(M116,Wires!$W$2:$W$1000,0)),"from","to"))</f>
        <v/>
      </c>
    </row>
    <row r="117">
      <c r="A117" s="9" t="inlineStr">
        <is>
          <t>PDM J1</t>
        </is>
      </c>
      <c r="B117" s="9" t="inlineStr">
        <is>
          <t>23</t>
        </is>
      </c>
      <c r="C117" s="9" t="n"/>
      <c r="D117" s="9" t="n"/>
      <c r="E117" s="9" t="n"/>
      <c r="F117" s="11">
        <f>IF(N117="","",INDEX(Wires!$A$2:$A$1000,N117))</f>
        <v/>
      </c>
      <c r="G117" s="11">
        <f>IF(N117="","",INDEX(Wires!$C$2:$C$1000,N117))</f>
        <v/>
      </c>
      <c r="H117" s="11">
        <f>IF(N117="","",IF(O117="from",INDEX(Wires!$F$2:$F$1000,N117)&amp;":"&amp;INDEX(Wires!$G$2:$G$1000,N117),INDEX(Wires!$D$2:$D$1000,N117)&amp;":"&amp;INDEX(Wires!$E$2:$E$1000,N117)))</f>
        <v/>
      </c>
      <c r="I117" s="11">
        <f>IF(N117="","",INDEX(Wires!$H$2:$H$1000,N117)&amp;"")</f>
        <v/>
      </c>
      <c r="J117" s="11">
        <f>IF(N117="","",IF(INDEX(Wires!$I$2:$I$1000,N117)="","",INDEX(Wires!$I$2:$I$1000,N117)))</f>
        <v/>
      </c>
      <c r="K117" s="11">
        <f>COUNTIF(Wires!$W$2:$W$1000,M117)+COUNTIF(Wires!$X$2:$X$1000,M117)</f>
        <v/>
      </c>
      <c r="L117" s="11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1">
        <f>A117&amp;":"&amp;B117&amp;IF(EXACT(B117,UPPER(B117)),"","|lc")</f>
        <v/>
      </c>
      <c r="N117" s="11">
        <f>IFERROR(MATCH(M117,Wires!$W$2:$W$1000,0),IFERROR(MATCH(M117,Wires!$X$2:$X$1000,0),""))</f>
        <v/>
      </c>
      <c r="O117" s="11">
        <f>IF(N117="","",IF(ISNUMBER(MATCH(M117,Wires!$W$2:$W$1000,0)),"from","to"))</f>
        <v/>
      </c>
    </row>
    <row r="118">
      <c r="A118" s="9" t="inlineStr">
        <is>
          <t>DATABOX J1</t>
        </is>
      </c>
      <c r="B118" s="9" t="inlineStr">
        <is>
          <t>?1</t>
        </is>
      </c>
      <c r="C118" s="9" t="n"/>
      <c r="D118" s="9" t="n"/>
      <c r="E118" s="9" t="n"/>
      <c r="F118" s="11">
        <f>IF(N118="","",INDEX(Wires!$A$2:$A$1000,N118))</f>
        <v/>
      </c>
      <c r="G118" s="11">
        <f>IF(N118="","",INDEX(Wires!$C$2:$C$1000,N118))</f>
        <v/>
      </c>
      <c r="H118" s="11">
        <f>IF(N118="","",IF(O118="from",INDEX(Wires!$F$2:$F$1000,N118)&amp;":"&amp;INDEX(Wires!$G$2:$G$1000,N118),INDEX(Wires!$D$2:$D$1000,N118)&amp;":"&amp;INDEX(Wires!$E$2:$E$1000,N118)))</f>
        <v/>
      </c>
      <c r="I118" s="11">
        <f>IF(N118="","",INDEX(Wires!$H$2:$H$1000,N118)&amp;"")</f>
        <v/>
      </c>
      <c r="J118" s="11">
        <f>IF(N118="","",IF(INDEX(Wires!$I$2:$I$1000,N118)="","",INDEX(Wires!$I$2:$I$1000,N118)))</f>
        <v/>
      </c>
      <c r="K118" s="11">
        <f>COUNTIF(Wires!$W$2:$W$1000,M118)+COUNTIF(Wires!$X$2:$X$1000,M118)</f>
        <v/>
      </c>
      <c r="L118" s="11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1">
        <f>A118&amp;":"&amp;B118&amp;IF(EXACT(B118,UPPER(B118)),"","|lc")</f>
        <v/>
      </c>
      <c r="N118" s="11">
        <f>IFERROR(MATCH(M118,Wires!$W$2:$W$1000,0),IFERROR(MATCH(M118,Wires!$X$2:$X$1000,0),""))</f>
        <v/>
      </c>
      <c r="O118" s="11">
        <f>IF(N118="","",IF(ISNUMBER(MATCH(M118,Wires!$W$2:$W$1000,0)),"from","to"))</f>
        <v/>
      </c>
    </row>
    <row r="119">
      <c r="A119" s="9" t="inlineStr">
        <is>
          <t>DATABOX J1</t>
        </is>
      </c>
      <c r="B119" s="9" t="inlineStr">
        <is>
          <t>?2</t>
        </is>
      </c>
      <c r="C119" s="9" t="n"/>
      <c r="D119" s="9" t="n"/>
      <c r="E119" s="9" t="n"/>
      <c r="F119" s="11">
        <f>IF(N119="","",INDEX(Wires!$A$2:$A$1000,N119))</f>
        <v/>
      </c>
      <c r="G119" s="11">
        <f>IF(N119="","",INDEX(Wires!$C$2:$C$1000,N119))</f>
        <v/>
      </c>
      <c r="H119" s="11">
        <f>IF(N119="","",IF(O119="from",INDEX(Wires!$F$2:$F$1000,N119)&amp;":"&amp;INDEX(Wires!$G$2:$G$1000,N119),INDEX(Wires!$D$2:$D$1000,N119)&amp;":"&amp;INDEX(Wires!$E$2:$E$1000,N119)))</f>
        <v/>
      </c>
      <c r="I119" s="11">
        <f>IF(N119="","",INDEX(Wires!$H$2:$H$1000,N119)&amp;"")</f>
        <v/>
      </c>
      <c r="J119" s="11">
        <f>IF(N119="","",IF(INDEX(Wires!$I$2:$I$1000,N119)="","",INDEX(Wires!$I$2:$I$1000,N119)))</f>
        <v/>
      </c>
      <c r="K119" s="11">
        <f>COUNTIF(Wires!$W$2:$W$1000,M119)+COUNTIF(Wires!$X$2:$X$1000,M119)</f>
        <v/>
      </c>
      <c r="L119" s="11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1">
        <f>A119&amp;":"&amp;B119&amp;IF(EXACT(B119,UPPER(B119)),"","|lc")</f>
        <v/>
      </c>
      <c r="N119" s="11">
        <f>IFERROR(MATCH(M119,Wires!$W$2:$W$1000,0),IFERROR(MATCH(M119,Wires!$X$2:$X$1000,0),""))</f>
        <v/>
      </c>
      <c r="O119" s="11">
        <f>IF(N119="","",IF(ISNUMBER(MATCH(M119,Wires!$W$2:$W$1000,0)),"from","to"))</f>
        <v/>
      </c>
    </row>
    <row r="120">
      <c r="A120" s="9" t="inlineStr">
        <is>
          <t>DATABOX J1</t>
        </is>
      </c>
      <c r="B120" s="9" t="inlineStr">
        <is>
          <t>?3</t>
        </is>
      </c>
      <c r="C120" s="9" t="n"/>
      <c r="D120" s="9" t="n"/>
      <c r="E120" s="9" t="n"/>
      <c r="F120" s="11">
        <f>IF(N120="","",INDEX(Wires!$A$2:$A$1000,N120))</f>
        <v/>
      </c>
      <c r="G120" s="11">
        <f>IF(N120="","",INDEX(Wires!$C$2:$C$1000,N120))</f>
        <v/>
      </c>
      <c r="H120" s="11">
        <f>IF(N120="","",IF(O120="from",INDEX(Wires!$F$2:$F$1000,N120)&amp;":"&amp;INDEX(Wires!$G$2:$G$1000,N120),INDEX(Wires!$D$2:$D$1000,N120)&amp;":"&amp;INDEX(Wires!$E$2:$E$1000,N120)))</f>
        <v/>
      </c>
      <c r="I120" s="11">
        <f>IF(N120="","",INDEX(Wires!$H$2:$H$1000,N120)&amp;"")</f>
        <v/>
      </c>
      <c r="J120" s="11">
        <f>IF(N120="","",IF(INDEX(Wires!$I$2:$I$1000,N120)="","",INDEX(Wires!$I$2:$I$1000,N120)))</f>
        <v/>
      </c>
      <c r="K120" s="11">
        <f>COUNTIF(Wires!$W$2:$W$1000,M120)+COUNTIF(Wires!$X$2:$X$1000,M120)</f>
        <v/>
      </c>
      <c r="L120" s="11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1">
        <f>A120&amp;":"&amp;B120&amp;IF(EXACT(B120,UPPER(B120)),"","|lc")</f>
        <v/>
      </c>
      <c r="N120" s="11">
        <f>IFERROR(MATCH(M120,Wires!$W$2:$W$1000,0),IFERROR(MATCH(M120,Wires!$X$2:$X$1000,0),""))</f>
        <v/>
      </c>
      <c r="O120" s="11">
        <f>IF(N120="","",IF(ISNUMBER(MATCH(M120,Wires!$W$2:$W$1000,0)),"from","to"))</f>
        <v/>
      </c>
    </row>
    <row r="121">
      <c r="A121" s="9" t="inlineStr">
        <is>
          <t>DATABOX J1</t>
        </is>
      </c>
      <c r="B121" s="9" t="inlineStr">
        <is>
          <t>?4</t>
        </is>
      </c>
      <c r="C121" s="9" t="n"/>
      <c r="D121" s="9" t="n"/>
      <c r="E121" s="9" t="n"/>
      <c r="F121" s="11">
        <f>IF(N121="","",INDEX(Wires!$A$2:$A$1000,N121))</f>
        <v/>
      </c>
      <c r="G121" s="11">
        <f>IF(N121="","",INDEX(Wires!$C$2:$C$1000,N121))</f>
        <v/>
      </c>
      <c r="H121" s="11">
        <f>IF(N121="","",IF(O121="from",INDEX(Wires!$F$2:$F$1000,N121)&amp;":"&amp;INDEX(Wires!$G$2:$G$1000,N121),INDEX(Wires!$D$2:$D$1000,N121)&amp;":"&amp;INDEX(Wires!$E$2:$E$1000,N121)))</f>
        <v/>
      </c>
      <c r="I121" s="11">
        <f>IF(N121="","",INDEX(Wires!$H$2:$H$1000,N121)&amp;"")</f>
        <v/>
      </c>
      <c r="J121" s="11">
        <f>IF(N121="","",IF(INDEX(Wires!$I$2:$I$1000,N121)="","",INDEX(Wires!$I$2:$I$1000,N121)))</f>
        <v/>
      </c>
      <c r="K121" s="11">
        <f>COUNTIF(Wires!$W$2:$W$1000,M121)+COUNTIF(Wires!$X$2:$X$1000,M121)</f>
        <v/>
      </c>
      <c r="L121" s="11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1">
        <f>A121&amp;":"&amp;B121&amp;IF(EXACT(B121,UPPER(B121)),"","|lc")</f>
        <v/>
      </c>
      <c r="N121" s="11">
        <f>IFERROR(MATCH(M121,Wires!$W$2:$W$1000,0),IFERROR(MATCH(M121,Wires!$X$2:$X$1000,0),""))</f>
        <v/>
      </c>
      <c r="O121" s="11">
        <f>IF(N121="","",IF(ISNUMBER(MATCH(M121,Wires!$W$2:$W$1000,0)),"from","to"))</f>
        <v/>
      </c>
    </row>
    <row r="122">
      <c r="A122" s="9" t="inlineStr">
        <is>
          <t>DATABOX J1</t>
        </is>
      </c>
      <c r="B122" s="9" t="inlineStr">
        <is>
          <t>?5</t>
        </is>
      </c>
      <c r="C122" s="9" t="n"/>
      <c r="D122" s="9" t="n"/>
      <c r="E122" s="9" t="n"/>
      <c r="F122" s="11">
        <f>IF(N122="","",INDEX(Wires!$A$2:$A$1000,N122))</f>
        <v/>
      </c>
      <c r="G122" s="11">
        <f>IF(N122="","",INDEX(Wires!$C$2:$C$1000,N122))</f>
        <v/>
      </c>
      <c r="H122" s="11">
        <f>IF(N122="","",IF(O122="from",INDEX(Wires!$F$2:$F$1000,N122)&amp;":"&amp;INDEX(Wires!$G$2:$G$1000,N122),INDEX(Wires!$D$2:$D$1000,N122)&amp;":"&amp;INDEX(Wires!$E$2:$E$1000,N122)))</f>
        <v/>
      </c>
      <c r="I122" s="11">
        <f>IF(N122="","",INDEX(Wires!$H$2:$H$1000,N122)&amp;"")</f>
        <v/>
      </c>
      <c r="J122" s="11">
        <f>IF(N122="","",IF(INDEX(Wires!$I$2:$I$1000,N122)="","",INDEX(Wires!$I$2:$I$1000,N122)))</f>
        <v/>
      </c>
      <c r="K122" s="11">
        <f>COUNTIF(Wires!$W$2:$W$1000,M122)+COUNTIF(Wires!$X$2:$X$1000,M122)</f>
        <v/>
      </c>
      <c r="L122" s="11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1">
        <f>A122&amp;":"&amp;B122&amp;IF(EXACT(B122,UPPER(B122)),"","|lc")</f>
        <v/>
      </c>
      <c r="N122" s="11">
        <f>IFERROR(MATCH(M122,Wires!$W$2:$W$1000,0),IFERROR(MATCH(M122,Wires!$X$2:$X$1000,0),""))</f>
        <v/>
      </c>
      <c r="O122" s="11">
        <f>IF(N122="","",IF(ISNUMBER(MATCH(M122,Wires!$W$2:$W$1000,0)),"from","to"))</f>
        <v/>
      </c>
    </row>
    <row r="123">
      <c r="A123" s="9" t="inlineStr">
        <is>
          <t>DATABOX J1</t>
        </is>
      </c>
      <c r="B123" s="9" t="inlineStr">
        <is>
          <t>?6</t>
        </is>
      </c>
      <c r="C123" s="9" t="n"/>
      <c r="D123" s="9" t="n"/>
      <c r="E123" s="9" t="n"/>
      <c r="F123" s="11">
        <f>IF(N123="","",INDEX(Wires!$A$2:$A$1000,N123))</f>
        <v/>
      </c>
      <c r="G123" s="11">
        <f>IF(N123="","",INDEX(Wires!$C$2:$C$1000,N123))</f>
        <v/>
      </c>
      <c r="H123" s="11">
        <f>IF(N123="","",IF(O123="from",INDEX(Wires!$F$2:$F$1000,N123)&amp;":"&amp;INDEX(Wires!$G$2:$G$1000,N123),INDEX(Wires!$D$2:$D$1000,N123)&amp;":"&amp;INDEX(Wires!$E$2:$E$1000,N123)))</f>
        <v/>
      </c>
      <c r="I123" s="11">
        <f>IF(N123="","",INDEX(Wires!$H$2:$H$1000,N123)&amp;"")</f>
        <v/>
      </c>
      <c r="J123" s="11">
        <f>IF(N123="","",IF(INDEX(Wires!$I$2:$I$1000,N123)="","",INDEX(Wires!$I$2:$I$1000,N123)))</f>
        <v/>
      </c>
      <c r="K123" s="11">
        <f>COUNTIF(Wires!$W$2:$W$1000,M123)+COUNTIF(Wires!$X$2:$X$1000,M123)</f>
        <v/>
      </c>
      <c r="L123" s="11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1">
        <f>A123&amp;":"&amp;B123&amp;IF(EXACT(B123,UPPER(B123)),"","|lc")</f>
        <v/>
      </c>
      <c r="N123" s="11">
        <f>IFERROR(MATCH(M123,Wires!$W$2:$W$1000,0),IFERROR(MATCH(M123,Wires!$X$2:$X$1000,0),""))</f>
        <v/>
      </c>
      <c r="O123" s="11">
        <f>IF(N123="","",IF(ISNUMBER(MATCH(M123,Wires!$W$2:$W$1000,0)),"from","to"))</f>
        <v/>
      </c>
    </row>
    <row r="124">
      <c r="A124" s="9" t="inlineStr">
        <is>
          <t>LVBOX</t>
        </is>
      </c>
      <c r="B124" s="9" t="inlineStr">
        <is>
          <t>?1</t>
        </is>
      </c>
      <c r="C124" s="9" t="n"/>
      <c r="D124" s="9" t="n"/>
      <c r="E124" s="9" t="n"/>
      <c r="F124" s="11">
        <f>IF(N124="","",INDEX(Wires!$A$2:$A$1000,N124))</f>
        <v/>
      </c>
      <c r="G124" s="11">
        <f>IF(N124="","",INDEX(Wires!$C$2:$C$1000,N124))</f>
        <v/>
      </c>
      <c r="H124" s="11">
        <f>IF(N124="","",IF(O124="from",INDEX(Wires!$F$2:$F$1000,N124)&amp;":"&amp;INDEX(Wires!$G$2:$G$1000,N124),INDEX(Wires!$D$2:$D$1000,N124)&amp;":"&amp;INDEX(Wires!$E$2:$E$1000,N124)))</f>
        <v/>
      </c>
      <c r="I124" s="11">
        <f>IF(N124="","",INDEX(Wires!$H$2:$H$1000,N124)&amp;"")</f>
        <v/>
      </c>
      <c r="J124" s="11">
        <f>IF(N124="","",IF(INDEX(Wires!$I$2:$I$1000,N124)="","",INDEX(Wires!$I$2:$I$1000,N124)))</f>
        <v/>
      </c>
      <c r="K124" s="11">
        <f>COUNTIF(Wires!$W$2:$W$1000,M124)+COUNTIF(Wires!$X$2:$X$1000,M124)</f>
        <v/>
      </c>
      <c r="L124" s="11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1">
        <f>A124&amp;":"&amp;B124&amp;IF(EXACT(B124,UPPER(B124)),"","|lc")</f>
        <v/>
      </c>
      <c r="N124" s="11">
        <f>IFERROR(MATCH(M124,Wires!$W$2:$W$1000,0),IFERROR(MATCH(M124,Wires!$X$2:$X$1000,0),""))</f>
        <v/>
      </c>
      <c r="O124" s="11">
        <f>IF(N124="","",IF(ISNUMBER(MATCH(M124,Wires!$W$2:$W$1000,0)),"from","to"))</f>
        <v/>
      </c>
    </row>
  </sheetData>
  <autoFilter ref="A1:O124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menor</t>
        </is>
      </c>
      <c r="C2" s="2" t="inlineStr">
        <is>
          <t>7 linha(s)</t>
        </is>
      </c>
      <c r="D2" s="2" t="inlineStr">
        <is>
          <t>Destino sem pino: AMS LED J1:1 → destino DATABOX J1 sem pino (folha LEDS); TS OFF LED J1:2 → destino DATABOX J1 sem pino (folha LEDS); IMD LED J1:1 → destino DATABOX J1 sem pino (folha LEDS); SDC LED J1:2 → destino DATABOX J1 sem pino (folha LEDS); LV ON LED J1:2 → destino DATABOX J1 sem pino (folha LEDS); TS ON LED J1:2 → destino DATABOX J1 sem pino (folha LEDS); R2D J1:4 → destino LVBOX sem pino (folha R2D Button)</t>
        </is>
      </c>
      <c r="E2" s="2" t="n"/>
      <c r="F2" s="2" t="n"/>
      <c r="G2" s="2" t="inlineStr">
        <is>
          <t>Pino marcado "?"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info</t>
        </is>
      </c>
      <c r="C3" s="2" t="inlineStr">
        <is>
          <t>destinos</t>
        </is>
      </c>
      <c r="D3" s="2" t="inlineStr">
        <is>
          <t>11 conector(es) só aparecem como destino, sem folha própria: ACQUISITION 1 J1, ACQUISITION 1 J2, DATABOX J2, JBOX J1, LVBOX, LVBOX J1, LVBOX J2, PDM J1, PDM J2, SIDE PANEL, SIDE PANEL J1.</t>
        </is>
      </c>
      <c r="E3" s="2" t="n"/>
      <c r="F3" s="2" t="n"/>
      <c r="G3" s="2" t="n"/>
      <c r="H3" s="10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info</t>
        </is>
      </c>
      <c r="C4" s="2" t="inlineStr">
        <is>
          <t>reciprocidade</t>
        </is>
      </c>
      <c r="D4" s="2" t="inlineStr">
        <is>
          <t>7 fio(s) só estão escritos numa das pontas, embora as duas tenham folha: DATABOX J1:e→TS ON LED J1:Aos LEDS, AMS LED J1:1→DATABOX J1:?1, TS OFF LED J1:2→DATABOX J1:?2, IMD LED J1:1→DATABOX J1:?3, SDC LED J1:2→DATABOX J1:?4, LV ON LED J1:2→DATABOX J1:?5, TS ON LED J1:2→DATABOX J1:?6</t>
        </is>
      </c>
      <c r="E4" s="2" t="n"/>
      <c r="F4" s="2" t="n"/>
      <c r="G4" s="2" t="n"/>
      <c r="H4" s="10" t="n"/>
      <c r="I4" s="9" t="inlineStr">
        <is>
          <t>aberto</t>
        </is>
      </c>
      <c r="J4" s="11">
        <f>COUNTIF(Wires!$U$2:$U$1000,"*"&amp;A4&amp;"*")</f>
        <v/>
      </c>
    </row>
  </sheetData>
  <autoFilter ref="A1:J4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2026-10-22T22:33:30Z</dcterms:created>
  <dcterms:modified xsi:type="dcterms:W3CDTF">2026-10-22T22:33:30Z</dcterms:modified>
</cp:coreProperties>
</file>