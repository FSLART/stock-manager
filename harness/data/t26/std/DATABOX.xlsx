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'Wires'!$A$1:$Z$83</definedName>
    <definedName name="_xlnm._FilterDatabase" localSheetId="2" hidden="1">'Connectors'!$A$1:$T$30</definedName>
    <definedName name="_xlnm._FilterDatabase" localSheetId="3" hidden="1">'Pins'!$A$1:$O$182</definedName>
    <definedName name="_xlnm._FilterDatabase" localSheetId="4" hidden="1">'Parts'!$A$1:$H$7</definedName>
    <definedName name="_xlnm._FilterDatabase" localSheetId="5" hidden="1">'Segments'!$A$1:$E$1</definedName>
    <definedName name="_xlnm._FilterDatabase" localSheetId="6" hidden="1">'Nodes'!$A$1:$E$1</definedName>
    <definedName name="_xlnm._FilterDatabase" localSheetId="7" hidden="1">'Issues'!$A$1:$J$24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i val="1"/>
      <color rgb="00C55A11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migração</author>
  </authors>
  <commentList>
    <comment ref="H4" authorId="0" shapeId="0">
      <text>
        <t>cores diferentes nas 2 pontas: ['BU', 'BU/WH']</t>
      </text>
    </comment>
    <comment ref="H5" authorId="0" shapeId="0">
      <text>
        <t>cores diferentes nas 2 pontas: ['RD', 'BU']</t>
      </text>
    </comment>
    <comment ref="H6" authorId="0" shapeId="0">
      <text>
        <t>cores diferentes nas 2 pontas: ['BU/WH', 'BU']</t>
      </text>
    </comment>
    <comment ref="H7" authorId="0" shapeId="0">
      <text>
        <t>cores diferentes nas 2 pontas: ['BU', 'RD']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Data Box: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DataBox_Harness_Pinout.xlsx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W-DATABOX-001</t>
        </is>
      </c>
      <c r="B2" s="9" t="inlineStr">
        <is>
          <t>DATABOX</t>
        </is>
      </c>
      <c r="C2" s="9" t="inlineStr">
        <is>
          <t>24V_IN</t>
        </is>
      </c>
      <c r="D2" s="9" t="inlineStr">
        <is>
          <t>ACQUISITION J1</t>
        </is>
      </c>
      <c r="E2" s="9" t="inlineStr">
        <is>
          <t>1</t>
        </is>
      </c>
      <c r="F2" s="9" t="inlineStr">
        <is>
          <t>DATABOX J1</t>
        </is>
      </c>
      <c r="G2" s="9" t="inlineStr">
        <is>
          <t>A</t>
        </is>
      </c>
      <c r="H2" s="9" t="inlineStr">
        <is>
          <t>RD</t>
        </is>
      </c>
      <c r="I2" s="10" t="n"/>
      <c r="J2" s="11">
        <f>IF(I2="","",IFERROR(INDEX(Lists!$F$3:$F$17,MATCH(I2,Lists!$E$3:$E$17,0)),"?"))</f>
        <v/>
      </c>
      <c r="K2" s="9" t="inlineStr">
        <is>
          <t>N</t>
        </is>
      </c>
      <c r="L2" s="9" t="inlineStr">
        <is>
          <t>24V</t>
        </is>
      </c>
      <c r="M2" s="10" t="n"/>
      <c r="N2" s="11">
        <f>IF(D2="","",IFERROR(INDEX(Connectors!$J$2:$J$1000,MATCH(D2,Connectors!$A$2:$A$1000,0))&amp;"",""))</f>
        <v/>
      </c>
      <c r="O2" s="11">
        <f>IF(F2="","",IFERROR(INDEX(Connectors!$J$2:$J$1000,MATCH(F2,Connectors!$A$2:$A$1000,0))&amp;"",""))</f>
        <v/>
      </c>
      <c r="P2" s="9" t="n"/>
      <c r="Q2" s="9" t="n"/>
      <c r="R2" s="10" t="n"/>
      <c r="S2" s="9" t="inlineStr">
        <is>
          <t>Power Supply from PDM</t>
        </is>
      </c>
      <c r="T2" s="9" t="inlineStr">
        <is>
          <t>2 pontas</t>
        </is>
      </c>
      <c r="U2" s="9" t="n"/>
      <c r="V2" s="11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1">
        <f>IF(D2="","",D2&amp;":"&amp;E2&amp;IF(EXACT(E2,UPPER(E2)),"","|lc"))</f>
        <v/>
      </c>
      <c r="X2" s="11">
        <f>IF(F2="","",F2&amp;":"&amp;G2&amp;IF(EXACT(G2,UPPER(G2)),"","|lc"))</f>
        <v/>
      </c>
      <c r="Y2" s="9" t="n"/>
      <c r="Z2" s="9" t="n"/>
    </row>
    <row r="3">
      <c r="A3" s="9" t="inlineStr">
        <is>
          <t>W-DATABOX-002</t>
        </is>
      </c>
      <c r="B3" s="9" t="inlineStr">
        <is>
          <t>DATABOX</t>
        </is>
      </c>
      <c r="C3" s="9" t="inlineStr">
        <is>
          <t>GND_IN</t>
        </is>
      </c>
      <c r="D3" s="9" t="inlineStr">
        <is>
          <t>ACQUISITION J1</t>
        </is>
      </c>
      <c r="E3" s="9" t="inlineStr">
        <is>
          <t>2</t>
        </is>
      </c>
      <c r="F3" s="9" t="inlineStr">
        <is>
          <t>DATABOX J1</t>
        </is>
      </c>
      <c r="G3" s="9" t="inlineStr">
        <is>
          <t>B</t>
        </is>
      </c>
      <c r="H3" s="9" t="inlineStr">
        <is>
          <t>BK</t>
        </is>
      </c>
      <c r="I3" s="10" t="n"/>
      <c r="J3" s="11">
        <f>IF(I3="","",IFERROR(INDEX(Lists!$F$3:$F$17,MATCH(I3,Lists!$E$3:$E$17,0)),"?"))</f>
        <v/>
      </c>
      <c r="K3" s="9" t="inlineStr">
        <is>
          <t>N</t>
        </is>
      </c>
      <c r="L3" s="9" t="inlineStr">
        <is>
          <t>0V</t>
        </is>
      </c>
      <c r="M3" s="10" t="n"/>
      <c r="N3" s="11">
        <f>IF(D3="","",IFERROR(INDEX(Connectors!$J$2:$J$1000,MATCH(D3,Connectors!$A$2:$A$1000,0))&amp;"",""))</f>
        <v/>
      </c>
      <c r="O3" s="11">
        <f>IF(F3="","",IFERROR(INDEX(Connectors!$J$2:$J$1000,MATCH(F3,Connectors!$A$2:$A$1000,0))&amp;"",""))</f>
        <v/>
      </c>
      <c r="P3" s="9" t="n"/>
      <c r="Q3" s="9" t="n"/>
      <c r="R3" s="10" t="n"/>
      <c r="S3" s="9" t="inlineStr">
        <is>
          <t>Ground Supply</t>
        </is>
      </c>
      <c r="T3" s="9" t="inlineStr">
        <is>
          <t>2 pontas</t>
        </is>
      </c>
      <c r="U3" s="9" t="n"/>
      <c r="V3" s="11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1">
        <f>IF(D3="","",D3&amp;":"&amp;E3&amp;IF(EXACT(E3,UPPER(E3)),"","|lc"))</f>
        <v/>
      </c>
      <c r="X3" s="11">
        <f>IF(F3="","",F3&amp;":"&amp;G3&amp;IF(EXACT(G3,UPPER(G3)),"","|lc"))</f>
        <v/>
      </c>
      <c r="Y3" s="9" t="n"/>
      <c r="Z3" s="9" t="n"/>
    </row>
    <row r="4">
      <c r="A4" s="9" t="inlineStr">
        <is>
          <t>W-DATABOX-003</t>
        </is>
      </c>
      <c r="B4" s="9" t="inlineStr">
        <is>
          <t>DATABOX</t>
        </is>
      </c>
      <c r="C4" s="9" t="inlineStr">
        <is>
          <t>CAN_AUT_L</t>
        </is>
      </c>
      <c r="D4" s="9" t="inlineStr">
        <is>
          <t>ACQUISITION J1</t>
        </is>
      </c>
      <c r="E4" s="9" t="inlineStr">
        <is>
          <t>3</t>
        </is>
      </c>
      <c r="F4" s="9" t="inlineStr">
        <is>
          <t>DATABOX J1</t>
        </is>
      </c>
      <c r="G4" s="9" t="inlineStr">
        <is>
          <t>E</t>
        </is>
      </c>
      <c r="H4" s="9" t="inlineStr">
        <is>
          <t>BU</t>
        </is>
      </c>
      <c r="I4" s="10" t="n"/>
      <c r="J4" s="11">
        <f>IF(I4="","",IFERROR(INDEX(Lists!$F$3:$F$17,MATCH(I4,Lists!$E$3:$E$17,0)),"?"))</f>
        <v/>
      </c>
      <c r="K4" s="9" t="inlineStr">
        <is>
          <t>N</t>
        </is>
      </c>
      <c r="L4" s="9" t="inlineStr">
        <is>
          <t>5V</t>
        </is>
      </c>
      <c r="M4" s="10" t="n"/>
      <c r="N4" s="11">
        <f>IF(D4="","",IFERROR(INDEX(Connectors!$J$2:$J$1000,MATCH(D4,Connectors!$A$2:$A$1000,0))&amp;"",""))</f>
        <v/>
      </c>
      <c r="O4" s="11">
        <f>IF(F4="","",IFERROR(INDEX(Connectors!$J$2:$J$1000,MATCH(F4,Connectors!$A$2:$A$1000,0))&amp;"",""))</f>
        <v/>
      </c>
      <c r="P4" s="9" t="n"/>
      <c r="Q4" s="9" t="n"/>
      <c r="R4" s="10" t="n"/>
      <c r="S4" s="9" t="inlineStr">
        <is>
          <t>Autonomous CAN Bus Low</t>
        </is>
      </c>
      <c r="T4" s="9" t="inlineStr">
        <is>
          <t>2 pontas</t>
        </is>
      </c>
      <c r="U4" s="9" t="n"/>
      <c r="V4" s="11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1">
        <f>IF(D4="","",D4&amp;":"&amp;E4&amp;IF(EXACT(E4,UPPER(E4)),"","|lc"))</f>
        <v/>
      </c>
      <c r="X4" s="11">
        <f>IF(F4="","",F4&amp;":"&amp;G4&amp;IF(EXACT(G4,UPPER(G4)),"","|lc"))</f>
        <v/>
      </c>
      <c r="Y4" s="9" t="n"/>
      <c r="Z4" s="9" t="n"/>
    </row>
    <row r="5">
      <c r="A5" s="9" t="inlineStr">
        <is>
          <t>W-DATABOX-004</t>
        </is>
      </c>
      <c r="B5" s="9" t="inlineStr">
        <is>
          <t>DATABOX</t>
        </is>
      </c>
      <c r="C5" s="9" t="inlineStr">
        <is>
          <t>CAN_PWT_L</t>
        </is>
      </c>
      <c r="D5" s="9" t="inlineStr">
        <is>
          <t>ACQUISITION J1</t>
        </is>
      </c>
      <c r="E5" s="9" t="inlineStr">
        <is>
          <t>4</t>
        </is>
      </c>
      <c r="F5" s="9" t="inlineStr">
        <is>
          <t>DATABOX J1</t>
        </is>
      </c>
      <c r="G5" s="9" t="inlineStr">
        <is>
          <t>C</t>
        </is>
      </c>
      <c r="H5" s="9" t="inlineStr">
        <is>
          <t>RD</t>
        </is>
      </c>
      <c r="I5" s="10" t="n"/>
      <c r="J5" s="11">
        <f>IF(I5="","",IFERROR(INDEX(Lists!$F$3:$F$17,MATCH(I5,Lists!$E$3:$E$17,0)),"?"))</f>
        <v/>
      </c>
      <c r="K5" s="9" t="inlineStr">
        <is>
          <t>N</t>
        </is>
      </c>
      <c r="L5" s="9" t="inlineStr">
        <is>
          <t>5V</t>
        </is>
      </c>
      <c r="M5" s="10" t="n"/>
      <c r="N5" s="11">
        <f>IF(D5="","",IFERROR(INDEX(Connectors!$J$2:$J$1000,MATCH(D5,Connectors!$A$2:$A$1000,0))&amp;"",""))</f>
        <v/>
      </c>
      <c r="O5" s="11">
        <f>IF(F5="","",IFERROR(INDEX(Connectors!$J$2:$J$1000,MATCH(F5,Connectors!$A$2:$A$1000,0))&amp;"",""))</f>
        <v/>
      </c>
      <c r="P5" s="9" t="n"/>
      <c r="Q5" s="9" t="n"/>
      <c r="R5" s="10" t="n"/>
      <c r="S5" s="9" t="inlineStr">
        <is>
          <t>PowerTrain CAN Bus Low</t>
        </is>
      </c>
      <c r="T5" s="9" t="inlineStr">
        <is>
          <t>2 pontas</t>
        </is>
      </c>
      <c r="U5" s="9" t="n"/>
      <c r="V5" s="11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1">
        <f>IF(D5="","",D5&amp;":"&amp;E5&amp;IF(EXACT(E5,UPPER(E5)),"","|lc"))</f>
        <v/>
      </c>
      <c r="X5" s="11">
        <f>IF(F5="","",F5&amp;":"&amp;G5&amp;IF(EXACT(G5,UPPER(G5)),"","|lc"))</f>
        <v/>
      </c>
      <c r="Y5" s="9" t="n"/>
      <c r="Z5" s="9" t="n"/>
    </row>
    <row r="6">
      <c r="A6" s="9" t="inlineStr">
        <is>
          <t>W-DATABOX-005</t>
        </is>
      </c>
      <c r="B6" s="9" t="inlineStr">
        <is>
          <t>DATABOX</t>
        </is>
      </c>
      <c r="C6" s="9" t="inlineStr">
        <is>
          <t>CAN_AUT_H</t>
        </is>
      </c>
      <c r="D6" s="9" t="inlineStr">
        <is>
          <t>ACQUISITION J1</t>
        </is>
      </c>
      <c r="E6" s="9" t="inlineStr">
        <is>
          <t>5</t>
        </is>
      </c>
      <c r="F6" s="9" t="inlineStr">
        <is>
          <t>DATABOX J1</t>
        </is>
      </c>
      <c r="G6" s="9" t="inlineStr">
        <is>
          <t>F</t>
        </is>
      </c>
      <c r="H6" s="9" t="inlineStr">
        <is>
          <t>BU/WH</t>
        </is>
      </c>
      <c r="I6" s="10" t="n"/>
      <c r="J6" s="11">
        <f>IF(I6="","",IFERROR(INDEX(Lists!$F$3:$F$17,MATCH(I6,Lists!$E$3:$E$17,0)),"?"))</f>
        <v/>
      </c>
      <c r="K6" s="9" t="inlineStr">
        <is>
          <t>N</t>
        </is>
      </c>
      <c r="L6" s="9" t="inlineStr">
        <is>
          <t>5V</t>
        </is>
      </c>
      <c r="M6" s="10" t="n"/>
      <c r="N6" s="11">
        <f>IF(D6="","",IFERROR(INDEX(Connectors!$J$2:$J$1000,MATCH(D6,Connectors!$A$2:$A$1000,0))&amp;"",""))</f>
        <v/>
      </c>
      <c r="O6" s="11">
        <f>IF(F6="","",IFERROR(INDEX(Connectors!$J$2:$J$1000,MATCH(F6,Connectors!$A$2:$A$1000,0))&amp;"",""))</f>
        <v/>
      </c>
      <c r="P6" s="9" t="n"/>
      <c r="Q6" s="9" t="n"/>
      <c r="R6" s="10" t="n"/>
      <c r="S6" s="9" t="inlineStr">
        <is>
          <t>Autonomous CAN Bus High</t>
        </is>
      </c>
      <c r="T6" s="9" t="inlineStr">
        <is>
          <t>2 pontas</t>
        </is>
      </c>
      <c r="U6" s="9" t="n"/>
      <c r="V6" s="11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1">
        <f>IF(D6="","",D6&amp;":"&amp;E6&amp;IF(EXACT(E6,UPPER(E6)),"","|lc"))</f>
        <v/>
      </c>
      <c r="X6" s="11">
        <f>IF(F6="","",F6&amp;":"&amp;G6&amp;IF(EXACT(G6,UPPER(G6)),"","|lc"))</f>
        <v/>
      </c>
      <c r="Y6" s="9" t="n"/>
      <c r="Z6" s="9" t="n"/>
    </row>
    <row r="7">
      <c r="A7" s="9" t="inlineStr">
        <is>
          <t>W-DATABOX-006</t>
        </is>
      </c>
      <c r="B7" s="9" t="inlineStr">
        <is>
          <t>DATABOX</t>
        </is>
      </c>
      <c r="C7" s="9" t="inlineStr">
        <is>
          <t>CAN_PWT_H</t>
        </is>
      </c>
      <c r="D7" s="9" t="inlineStr">
        <is>
          <t>ACQUISITION J1</t>
        </is>
      </c>
      <c r="E7" s="9" t="inlineStr">
        <is>
          <t>6</t>
        </is>
      </c>
      <c r="F7" s="9" t="inlineStr">
        <is>
          <t>DATABOX J1</t>
        </is>
      </c>
      <c r="G7" s="9" t="inlineStr">
        <is>
          <t>D</t>
        </is>
      </c>
      <c r="H7" s="9" t="inlineStr">
        <is>
          <t>BU</t>
        </is>
      </c>
      <c r="I7" s="10" t="n"/>
      <c r="J7" s="11">
        <f>IF(I7="","",IFERROR(INDEX(Lists!$F$3:$F$17,MATCH(I7,Lists!$E$3:$E$17,0)),"?"))</f>
        <v/>
      </c>
      <c r="K7" s="9" t="inlineStr">
        <is>
          <t>N</t>
        </is>
      </c>
      <c r="L7" s="9" t="inlineStr">
        <is>
          <t>5V</t>
        </is>
      </c>
      <c r="M7" s="10" t="n"/>
      <c r="N7" s="11">
        <f>IF(D7="","",IFERROR(INDEX(Connectors!$J$2:$J$1000,MATCH(D7,Connectors!$A$2:$A$1000,0))&amp;"",""))</f>
        <v/>
      </c>
      <c r="O7" s="11">
        <f>IF(F7="","",IFERROR(INDEX(Connectors!$J$2:$J$1000,MATCH(F7,Connectors!$A$2:$A$1000,0))&amp;"",""))</f>
        <v/>
      </c>
      <c r="P7" s="9" t="n"/>
      <c r="Q7" s="9" t="n"/>
      <c r="R7" s="10" t="n"/>
      <c r="S7" s="9" t="inlineStr">
        <is>
          <t>PowerTrain CAN Bus High</t>
        </is>
      </c>
      <c r="T7" s="9" t="inlineStr">
        <is>
          <t>2 pontas</t>
        </is>
      </c>
      <c r="U7" s="9" t="n"/>
      <c r="V7" s="11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1">
        <f>IF(D7="","",D7&amp;":"&amp;E7&amp;IF(EXACT(E7,UPPER(E7)),"","|lc"))</f>
        <v/>
      </c>
      <c r="X7" s="11">
        <f>IF(F7="","",F7&amp;":"&amp;G7&amp;IF(EXACT(G7,UPPER(G7)),"","|lc"))</f>
        <v/>
      </c>
      <c r="Y7" s="9" t="n"/>
      <c r="Z7" s="9" t="n"/>
    </row>
    <row r="8">
      <c r="A8" s="12" t="inlineStr">
        <is>
          <t>W-DATABOX-007</t>
        </is>
      </c>
      <c r="B8" s="9" t="inlineStr">
        <is>
          <t>DATABOX</t>
        </is>
      </c>
      <c r="C8" s="9" t="inlineStr">
        <is>
          <t>CAN_PWT_L</t>
        </is>
      </c>
      <c r="D8" s="9" t="inlineStr">
        <is>
          <t>ACQUISITION J1</t>
        </is>
      </c>
      <c r="E8" s="9" t="inlineStr">
        <is>
          <t>8</t>
        </is>
      </c>
      <c r="F8" s="9" t="inlineStr">
        <is>
          <t>RASPBERRY J3</t>
        </is>
      </c>
      <c r="G8" s="9" t="inlineStr">
        <is>
          <t>2</t>
        </is>
      </c>
      <c r="H8" s="9" t="inlineStr">
        <is>
          <t>RD</t>
        </is>
      </c>
      <c r="I8" s="10" t="n"/>
      <c r="J8" s="11">
        <f>IF(I8="","",IFERROR(INDEX(Lists!$F$3:$F$17,MATCH(I8,Lists!$E$3:$E$17,0)),"?"))</f>
        <v/>
      </c>
      <c r="K8" s="9" t="inlineStr">
        <is>
          <t>N</t>
        </is>
      </c>
      <c r="L8" s="9" t="inlineStr">
        <is>
          <t>5V</t>
        </is>
      </c>
      <c r="M8" s="10" t="n"/>
      <c r="N8" s="11">
        <f>IF(D8="","",IFERROR(INDEX(Connectors!$J$2:$J$1000,MATCH(D8,Connectors!$A$2:$A$1000,0))&amp;"",""))</f>
        <v/>
      </c>
      <c r="O8" s="11">
        <f>IF(F8="","",IFERROR(INDEX(Connectors!$J$2:$J$1000,MATCH(F8,Connectors!$A$2:$A$1000,0))&amp;"",""))</f>
        <v/>
      </c>
      <c r="P8" s="9" t="n"/>
      <c r="Q8" s="9" t="n"/>
      <c r="R8" s="10" t="n"/>
      <c r="S8" s="9" t="inlineStr">
        <is>
          <t>PowerTrain CAN Bus</t>
        </is>
      </c>
      <c r="T8" s="9" t="inlineStr">
        <is>
          <t>1 ponta (folha Acquisition Board 4)</t>
        </is>
      </c>
      <c r="U8" s="12" t="inlineStr">
        <is>
          <t>I-01, I-02</t>
        </is>
      </c>
      <c r="V8" s="11">
        <f>IF(D8="","",IF(COUNTIF(Connectors!$A$2:$A$1000,D8)=0,"from_ref não existe; ","")&amp;IF(COUNTIF(Connectors!$A$2:$A$1000,F8)=0,"to_ref não existe; ","")&amp;IF(AND(H8&lt;&gt;"",COUNTIF(Lists!$A$3:$A$14,H8)=0),"cor inválida; ","")&amp;IF(H8="","sem cor; ","")&amp;IF((K8="Y")&lt;&gt;(H8="OG"),"HV e laranja não batem; ","")&amp;IF(AND(K8="Y",OR(IFERROR(INDEX(Connectors!$F$2:$F$1000,MATCH(D8,Connectors!$A$2:$A$1000,0)),"")&lt;&gt;"Y",IFERROR(INDEX(Connectors!$F$2:$F$1000,MATCH(F8,Connectors!$A$2:$A$1000,0)),"")&lt;&gt;"Y")),"fio HV em ficha não HV rated; ","")&amp;IF(AND(COUNTIF($W$2:$W$1000,W8)+COUNTIF($X$2:$X$1000,W8)&gt;1,ISERROR(MATCH(IFERROR(INDEX(Connectors!$D$2:$D$1000,MATCH(D8,Connectors!$A$2:$A$1000,0)),""),{"SPLICE","STUD"},0))),"pino from com &gt;1 fio; ","")&amp;IF(AND(COUNTIF($W$2:$W$1000,X8)+COUNTIF($X$2:$X$1000,X8)&gt;1,ISERROR(MATCH(IFERROR(INDEX(Connectors!$D$2:$D$1000,MATCH(F8,Connectors!$A$2:$A$1000,0)),""),{"SPLICE","STUD"},0))),"pino to com &gt;1 fio; ","")&amp;IF(I8="","sem secção; ",""))</f>
        <v/>
      </c>
      <c r="W8" s="11">
        <f>IF(D8="","",D8&amp;":"&amp;E8&amp;IF(EXACT(E8,UPPER(E8)),"","|lc"))</f>
        <v/>
      </c>
      <c r="X8" s="11">
        <f>IF(F8="","",F8&amp;":"&amp;G8&amp;IF(EXACT(G8,UPPER(G8)),"","|lc"))</f>
        <v/>
      </c>
      <c r="Y8" s="9" t="n"/>
      <c r="Z8" s="9" t="n"/>
    </row>
    <row r="9">
      <c r="A9" s="12" t="inlineStr">
        <is>
          <t>W-DATABOX-008</t>
        </is>
      </c>
      <c r="B9" s="9" t="inlineStr">
        <is>
          <t>DATABOX</t>
        </is>
      </c>
      <c r="C9" s="9" t="inlineStr">
        <is>
          <t>CAN_PWT_H</t>
        </is>
      </c>
      <c r="D9" s="9" t="inlineStr">
        <is>
          <t>ACQUISITION J1</t>
        </is>
      </c>
      <c r="E9" s="9" t="inlineStr">
        <is>
          <t>10</t>
        </is>
      </c>
      <c r="F9" s="9" t="inlineStr">
        <is>
          <t>RASPBERRY J3</t>
        </is>
      </c>
      <c r="G9" s="9" t="inlineStr">
        <is>
          <t>3</t>
        </is>
      </c>
      <c r="H9" s="9" t="inlineStr">
        <is>
          <t>BU</t>
        </is>
      </c>
      <c r="I9" s="10" t="n"/>
      <c r="J9" s="11">
        <f>IF(I9="","",IFERROR(INDEX(Lists!$F$3:$F$17,MATCH(I9,Lists!$E$3:$E$17,0)),"?"))</f>
        <v/>
      </c>
      <c r="K9" s="9" t="inlineStr">
        <is>
          <t>N</t>
        </is>
      </c>
      <c r="L9" s="9" t="inlineStr">
        <is>
          <t>5V</t>
        </is>
      </c>
      <c r="M9" s="10" t="n"/>
      <c r="N9" s="11">
        <f>IF(D9="","",IFERROR(INDEX(Connectors!$J$2:$J$1000,MATCH(D9,Connectors!$A$2:$A$1000,0))&amp;"",""))</f>
        <v/>
      </c>
      <c r="O9" s="11">
        <f>IF(F9="","",IFERROR(INDEX(Connectors!$J$2:$J$1000,MATCH(F9,Connectors!$A$2:$A$1000,0))&amp;"",""))</f>
        <v/>
      </c>
      <c r="P9" s="9" t="n"/>
      <c r="Q9" s="9" t="n"/>
      <c r="R9" s="10" t="n"/>
      <c r="S9" s="9" t="inlineStr">
        <is>
          <t>PowerTrain CAN Bus</t>
        </is>
      </c>
      <c r="T9" s="9" t="inlineStr">
        <is>
          <t>1 ponta (folha Acquisition Board 4)</t>
        </is>
      </c>
      <c r="U9" s="12" t="inlineStr">
        <is>
          <t>I-03, I-04</t>
        </is>
      </c>
      <c r="V9" s="11">
        <f>IF(D9="","",IF(COUNTIF(Connectors!$A$2:$A$1000,D9)=0,"from_ref não existe; ","")&amp;IF(COUNTIF(Connectors!$A$2:$A$1000,F9)=0,"to_ref não existe; ","")&amp;IF(AND(H9&lt;&gt;"",COUNTIF(Lists!$A$3:$A$14,H9)=0),"cor inválida; ","")&amp;IF(H9="","sem cor; ","")&amp;IF((K9="Y")&lt;&gt;(H9="OG"),"HV e laranja não batem; ","")&amp;IF(AND(K9="Y",OR(IFERROR(INDEX(Connectors!$F$2:$F$1000,MATCH(D9,Connectors!$A$2:$A$1000,0)),"")&lt;&gt;"Y",IFERROR(INDEX(Connectors!$F$2:$F$1000,MATCH(F9,Connectors!$A$2:$A$1000,0)),"")&lt;&gt;"Y")),"fio HV em ficha não HV rated; ","")&amp;IF(AND(COUNTIF($W$2:$W$1000,W9)+COUNTIF($X$2:$X$1000,W9)&gt;1,ISERROR(MATCH(IFERROR(INDEX(Connectors!$D$2:$D$1000,MATCH(D9,Connectors!$A$2:$A$1000,0)),""),{"SPLICE","STUD"},0))),"pino from com &gt;1 fio; ","")&amp;IF(AND(COUNTIF($W$2:$W$1000,X9)+COUNTIF($X$2:$X$1000,X9)&gt;1,ISERROR(MATCH(IFERROR(INDEX(Connectors!$D$2:$D$1000,MATCH(F9,Connectors!$A$2:$A$1000,0)),""),{"SPLICE","STUD"},0))),"pino to com &gt;1 fio; ","")&amp;IF(I9="","sem secção; ",""))</f>
        <v/>
      </c>
      <c r="W9" s="11">
        <f>IF(D9="","",D9&amp;":"&amp;E9&amp;IF(EXACT(E9,UPPER(E9)),"","|lc"))</f>
        <v/>
      </c>
      <c r="X9" s="11">
        <f>IF(F9="","",F9&amp;":"&amp;G9&amp;IF(EXACT(G9,UPPER(G9)),"","|lc"))</f>
        <v/>
      </c>
      <c r="Y9" s="9" t="n"/>
      <c r="Z9" s="9" t="n"/>
    </row>
    <row r="10">
      <c r="A10" s="9" t="inlineStr">
        <is>
          <t>W-DATABOX-009</t>
        </is>
      </c>
      <c r="B10" s="9" t="inlineStr">
        <is>
          <t>DATABOX</t>
        </is>
      </c>
      <c r="C10" s="9" t="inlineStr">
        <is>
          <t>ST_ANGLE</t>
        </is>
      </c>
      <c r="D10" s="9" t="inlineStr">
        <is>
          <t>ACQUISITION J2</t>
        </is>
      </c>
      <c r="E10" s="9" t="inlineStr">
        <is>
          <t>1</t>
        </is>
      </c>
      <c r="F10" s="9" t="inlineStr">
        <is>
          <t>DATABOX J1</t>
        </is>
      </c>
      <c r="G10" s="9" t="inlineStr">
        <is>
          <t>K</t>
        </is>
      </c>
      <c r="H10" s="9" t="inlineStr">
        <is>
          <t>WH</t>
        </is>
      </c>
      <c r="I10" s="10" t="n"/>
      <c r="J10" s="11">
        <f>IF(I10="","",IFERROR(INDEX(Lists!$F$3:$F$17,MATCH(I10,Lists!$E$3:$E$17,0)),"?"))</f>
        <v/>
      </c>
      <c r="K10" s="9" t="inlineStr">
        <is>
          <t>N</t>
        </is>
      </c>
      <c r="L10" s="9" t="inlineStr">
        <is>
          <t>5V</t>
        </is>
      </c>
      <c r="M10" s="10" t="n"/>
      <c r="N10" s="11">
        <f>IF(D10="","",IFERROR(INDEX(Connectors!$J$2:$J$1000,MATCH(D10,Connectors!$A$2:$A$1000,0))&amp;"",""))</f>
        <v/>
      </c>
      <c r="O10" s="11">
        <f>IF(F10="","",IFERROR(INDEX(Connectors!$J$2:$J$1000,MATCH(F10,Connectors!$A$2:$A$1000,0))&amp;"",""))</f>
        <v/>
      </c>
      <c r="P10" s="9" t="n"/>
      <c r="Q10" s="9" t="n"/>
      <c r="R10" s="10" t="n"/>
      <c r="S10" s="9" t="inlineStr">
        <is>
          <t>Steering Angle Signal</t>
        </is>
      </c>
      <c r="T10" s="9" t="inlineStr">
        <is>
          <t>2 pontas</t>
        </is>
      </c>
      <c r="U10" s="9" t="n"/>
      <c r="V10" s="11">
        <f>IF(D10="","",IF(COUNTIF(Connectors!$A$2:$A$1000,D10)=0,"from_ref não existe; ","")&amp;IF(COUNTIF(Connectors!$A$2:$A$1000,F10)=0,"to_ref não existe; ","")&amp;IF(AND(H10&lt;&gt;"",COUNTIF(Lists!$A$3:$A$14,H10)=0),"cor inválida; ","")&amp;IF(H10="","sem cor; ","")&amp;IF((K10="Y")&lt;&gt;(H10="OG"),"HV e laranja não batem; ","")&amp;IF(AND(K10="Y",OR(IFERROR(INDEX(Connectors!$F$2:$F$1000,MATCH(D10,Connectors!$A$2:$A$1000,0)),"")&lt;&gt;"Y",IFERROR(INDEX(Connectors!$F$2:$F$1000,MATCH(F10,Connectors!$A$2:$A$1000,0)),"")&lt;&gt;"Y")),"fio HV em ficha não HV rated; ","")&amp;IF(AND(COUNTIF($W$2:$W$1000,W10)+COUNTIF($X$2:$X$1000,W10)&gt;1,ISERROR(MATCH(IFERROR(INDEX(Connectors!$D$2:$D$1000,MATCH(D10,Connectors!$A$2:$A$1000,0)),""),{"SPLICE","STUD"},0))),"pino from com &gt;1 fio; ","")&amp;IF(AND(COUNTIF($W$2:$W$1000,X10)+COUNTIF($X$2:$X$1000,X10)&gt;1,ISERROR(MATCH(IFERROR(INDEX(Connectors!$D$2:$D$1000,MATCH(F10,Connectors!$A$2:$A$1000,0)),""),{"SPLICE","STUD"},0))),"pino to com &gt;1 fio; ","")&amp;IF(I10="","sem secção; ",""))</f>
        <v/>
      </c>
      <c r="W10" s="11">
        <f>IF(D10="","",D10&amp;":"&amp;E10&amp;IF(EXACT(E10,UPPER(E10)),"","|lc"))</f>
        <v/>
      </c>
      <c r="X10" s="11">
        <f>IF(F10="","",F10&amp;":"&amp;G10&amp;IF(EXACT(G10,UPPER(G10)),"","|lc"))</f>
        <v/>
      </c>
      <c r="Y10" s="9" t="n"/>
      <c r="Z10" s="9" t="n"/>
    </row>
    <row r="11">
      <c r="A11" s="9" t="inlineStr">
        <is>
          <t>W-DATABOX-010</t>
        </is>
      </c>
      <c r="B11" s="9" t="inlineStr">
        <is>
          <t>DATABOX</t>
        </is>
      </c>
      <c r="C11" s="9" t="inlineStr">
        <is>
          <t>READY_TO_DRIVE_SIGNAL</t>
        </is>
      </c>
      <c r="D11" s="9" t="inlineStr">
        <is>
          <t>R2D J1</t>
        </is>
      </c>
      <c r="E11" s="9" t="inlineStr">
        <is>
          <t>2</t>
        </is>
      </c>
      <c r="F11" s="9" t="inlineStr">
        <is>
          <t>ACQUISITION J2</t>
        </is>
      </c>
      <c r="G11" s="9" t="inlineStr">
        <is>
          <t>2</t>
        </is>
      </c>
      <c r="H11" s="9" t="inlineStr">
        <is>
          <t>WH</t>
        </is>
      </c>
      <c r="I11" s="10" t="n"/>
      <c r="J11" s="11">
        <f>IF(I11="","",IFERROR(INDEX(Lists!$F$3:$F$17,MATCH(I11,Lists!$E$3:$E$17,0)),"?"))</f>
        <v/>
      </c>
      <c r="K11" s="9" t="inlineStr">
        <is>
          <t>N</t>
        </is>
      </c>
      <c r="L11" s="9" t="inlineStr">
        <is>
          <t>24V</t>
        </is>
      </c>
      <c r="M11" s="10" t="n"/>
      <c r="N11" s="11">
        <f>IF(D11="","",IFERROR(INDEX(Connectors!$J$2:$J$1000,MATCH(D11,Connectors!$A$2:$A$1000,0))&amp;"",""))</f>
        <v/>
      </c>
      <c r="O11" s="11">
        <f>IF(F11="","",IFERROR(INDEX(Connectors!$J$2:$J$1000,MATCH(F11,Connectors!$A$2:$A$1000,0))&amp;"",""))</f>
        <v/>
      </c>
      <c r="P11" s="9" t="n"/>
      <c r="Q11" s="9" t="n"/>
      <c r="R11" s="10" t="n"/>
      <c r="S11" s="9" t="inlineStr">
        <is>
          <t>Ready to Drive Button Signal</t>
        </is>
      </c>
      <c r="T11" s="9" t="inlineStr">
        <is>
          <t>2 pontas</t>
        </is>
      </c>
      <c r="U11" s="9" t="n"/>
      <c r="V11" s="11">
        <f>IF(D11="","",IF(COUNTIF(Connectors!$A$2:$A$1000,D11)=0,"from_ref não existe; ","")&amp;IF(COUNTIF(Connectors!$A$2:$A$1000,F11)=0,"to_ref não existe; ","")&amp;IF(AND(H11&lt;&gt;"",COUNTIF(Lists!$A$3:$A$14,H11)=0),"cor inválida; ","")&amp;IF(H11="","sem cor; ","")&amp;IF((K11="Y")&lt;&gt;(H11="OG"),"HV e laranja não batem; ","")&amp;IF(AND(K11="Y",OR(IFERROR(INDEX(Connectors!$F$2:$F$1000,MATCH(D11,Connectors!$A$2:$A$1000,0)),"")&lt;&gt;"Y",IFERROR(INDEX(Connectors!$F$2:$F$1000,MATCH(F11,Connectors!$A$2:$A$1000,0)),"")&lt;&gt;"Y")),"fio HV em ficha não HV rated; ","")&amp;IF(AND(COUNTIF($W$2:$W$1000,W11)+COUNTIF($X$2:$X$1000,W11)&gt;1,ISERROR(MATCH(IFERROR(INDEX(Connectors!$D$2:$D$1000,MATCH(D11,Connectors!$A$2:$A$1000,0)),""),{"SPLICE","STUD"},0))),"pino from com &gt;1 fio; ","")&amp;IF(AND(COUNTIF($W$2:$W$1000,X11)+COUNTIF($X$2:$X$1000,X11)&gt;1,ISERROR(MATCH(IFERROR(INDEX(Connectors!$D$2:$D$1000,MATCH(F11,Connectors!$A$2:$A$1000,0)),""),{"SPLICE","STUD"},0))),"pino to com &gt;1 fio; ","")&amp;IF(I11="","sem secção; ",""))</f>
        <v/>
      </c>
      <c r="W11" s="11">
        <f>IF(D11="","",D11&amp;":"&amp;E11&amp;IF(EXACT(E11,UPPER(E11)),"","|lc"))</f>
        <v/>
      </c>
      <c r="X11" s="11">
        <f>IF(F11="","",F11&amp;":"&amp;G11&amp;IF(EXACT(G11,UPPER(G11)),"","|lc"))</f>
        <v/>
      </c>
      <c r="Y11" s="9" t="n"/>
      <c r="Z11" s="9" t="n"/>
    </row>
    <row r="12">
      <c r="A12" s="9" t="inlineStr">
        <is>
          <t>W-DATABOX-011</t>
        </is>
      </c>
      <c r="B12" s="9" t="inlineStr">
        <is>
          <t>DATABOX</t>
        </is>
      </c>
      <c r="C12" s="9" t="inlineStr">
        <is>
          <t>SUSP_LEFT</t>
        </is>
      </c>
      <c r="D12" s="9" t="inlineStr">
        <is>
          <t>ACQUISITION J2</t>
        </is>
      </c>
      <c r="E12" s="9" t="inlineStr">
        <is>
          <t>3</t>
        </is>
      </c>
      <c r="F12" s="9" t="inlineStr">
        <is>
          <t>DATABOX J1</t>
        </is>
      </c>
      <c r="G12" s="9" t="inlineStr">
        <is>
          <t>N</t>
        </is>
      </c>
      <c r="H12" s="9" t="inlineStr">
        <is>
          <t>WH</t>
        </is>
      </c>
      <c r="I12" s="10" t="n"/>
      <c r="J12" s="11">
        <f>IF(I12="","",IFERROR(INDEX(Lists!$F$3:$F$17,MATCH(I12,Lists!$E$3:$E$17,0)),"?"))</f>
        <v/>
      </c>
      <c r="K12" s="9" t="inlineStr">
        <is>
          <t>N</t>
        </is>
      </c>
      <c r="L12" s="9" t="inlineStr">
        <is>
          <t>5V</t>
        </is>
      </c>
      <c r="M12" s="10" t="n"/>
      <c r="N12" s="11">
        <f>IF(D12="","",IFERROR(INDEX(Connectors!$J$2:$J$1000,MATCH(D12,Connectors!$A$2:$A$1000,0))&amp;"",""))</f>
        <v/>
      </c>
      <c r="O12" s="11">
        <f>IF(F12="","",IFERROR(INDEX(Connectors!$J$2:$J$1000,MATCH(F12,Connectors!$A$2:$A$1000,0))&amp;"",""))</f>
        <v/>
      </c>
      <c r="P12" s="9" t="n"/>
      <c r="Q12" s="9" t="n"/>
      <c r="R12" s="10" t="n"/>
      <c r="S12" s="9" t="inlineStr">
        <is>
          <t>Suspension Left Signal</t>
        </is>
      </c>
      <c r="T12" s="9" t="inlineStr">
        <is>
          <t>2 pontas</t>
        </is>
      </c>
      <c r="U12" s="9" t="n"/>
      <c r="V12" s="11">
        <f>IF(D12="","",IF(COUNTIF(Connectors!$A$2:$A$1000,D12)=0,"from_ref não existe; ","")&amp;IF(COUNTIF(Connectors!$A$2:$A$1000,F12)=0,"to_ref não existe; ","")&amp;IF(AND(H12&lt;&gt;"",COUNTIF(Lists!$A$3:$A$14,H12)=0),"cor inválida; ","")&amp;IF(H12="","sem cor; ","")&amp;IF((K12="Y")&lt;&gt;(H12="OG"),"HV e laranja não batem; ","")&amp;IF(AND(K12="Y",OR(IFERROR(INDEX(Connectors!$F$2:$F$1000,MATCH(D12,Connectors!$A$2:$A$1000,0)),"")&lt;&gt;"Y",IFERROR(INDEX(Connectors!$F$2:$F$1000,MATCH(F12,Connectors!$A$2:$A$1000,0)),"")&lt;&gt;"Y")),"fio HV em ficha não HV rated; ","")&amp;IF(AND(COUNTIF($W$2:$W$1000,W12)+COUNTIF($X$2:$X$1000,W12)&gt;1,ISERROR(MATCH(IFERROR(INDEX(Connectors!$D$2:$D$1000,MATCH(D12,Connectors!$A$2:$A$1000,0)),""),{"SPLICE","STUD"},0))),"pino from com &gt;1 fio; ","")&amp;IF(AND(COUNTIF($W$2:$W$1000,X12)+COUNTIF($X$2:$X$1000,X12)&gt;1,ISERROR(MATCH(IFERROR(INDEX(Connectors!$D$2:$D$1000,MATCH(F12,Connectors!$A$2:$A$1000,0)),""),{"SPLICE","STUD"},0))),"pino to com &gt;1 fio; ","")&amp;IF(I12="","sem secção; ",""))</f>
        <v/>
      </c>
      <c r="W12" s="11">
        <f>IF(D12="","",D12&amp;":"&amp;E12&amp;IF(EXACT(E12,UPPER(E12)),"","|lc"))</f>
        <v/>
      </c>
      <c r="X12" s="11">
        <f>IF(F12="","",F12&amp;":"&amp;G12&amp;IF(EXACT(G12,UPPER(G12)),"","|lc"))</f>
        <v/>
      </c>
      <c r="Y12" s="9" t="n"/>
      <c r="Z12" s="9" t="n"/>
    </row>
    <row r="13">
      <c r="A13" s="9" t="inlineStr">
        <is>
          <t>W-DATABOX-012</t>
        </is>
      </c>
      <c r="B13" s="9" t="inlineStr">
        <is>
          <t>DATABOX</t>
        </is>
      </c>
      <c r="C13" s="9" t="inlineStr">
        <is>
          <t>SUSP_RIGHT</t>
        </is>
      </c>
      <c r="D13" s="9" t="inlineStr">
        <is>
          <t>ACQUISITION J2</t>
        </is>
      </c>
      <c r="E13" s="9" t="inlineStr">
        <is>
          <t>5</t>
        </is>
      </c>
      <c r="F13" s="9" t="inlineStr">
        <is>
          <t>DATABOX J1</t>
        </is>
      </c>
      <c r="G13" s="9" t="inlineStr">
        <is>
          <t>S</t>
        </is>
      </c>
      <c r="H13" s="9" t="inlineStr">
        <is>
          <t>WH</t>
        </is>
      </c>
      <c r="I13" s="10" t="n"/>
      <c r="J13" s="11">
        <f>IF(I13="","",IFERROR(INDEX(Lists!$F$3:$F$17,MATCH(I13,Lists!$E$3:$E$17,0)),"?"))</f>
        <v/>
      </c>
      <c r="K13" s="9" t="inlineStr">
        <is>
          <t>N</t>
        </is>
      </c>
      <c r="L13" s="9" t="inlineStr">
        <is>
          <t>5V</t>
        </is>
      </c>
      <c r="M13" s="10" t="n"/>
      <c r="N13" s="11">
        <f>IF(D13="","",IFERROR(INDEX(Connectors!$J$2:$J$1000,MATCH(D13,Connectors!$A$2:$A$1000,0))&amp;"",""))</f>
        <v/>
      </c>
      <c r="O13" s="11">
        <f>IF(F13="","",IFERROR(INDEX(Connectors!$J$2:$J$1000,MATCH(F13,Connectors!$A$2:$A$1000,0))&amp;"",""))</f>
        <v/>
      </c>
      <c r="P13" s="9" t="n"/>
      <c r="Q13" s="9" t="n"/>
      <c r="R13" s="10" t="n"/>
      <c r="S13" s="9" t="inlineStr">
        <is>
          <t>Suspension Right Signal</t>
        </is>
      </c>
      <c r="T13" s="9" t="inlineStr">
        <is>
          <t>2 pontas</t>
        </is>
      </c>
      <c r="U13" s="9" t="n"/>
      <c r="V13" s="11">
        <f>IF(D13="","",IF(COUNTIF(Connectors!$A$2:$A$1000,D13)=0,"from_ref não existe; ","")&amp;IF(COUNTIF(Connectors!$A$2:$A$1000,F13)=0,"to_ref não existe; ","")&amp;IF(AND(H13&lt;&gt;"",COUNTIF(Lists!$A$3:$A$14,H13)=0),"cor inválida; ","")&amp;IF(H13="","sem cor; ","")&amp;IF((K13="Y")&lt;&gt;(H13="OG"),"HV e laranja não batem; ","")&amp;IF(AND(K13="Y",OR(IFERROR(INDEX(Connectors!$F$2:$F$1000,MATCH(D13,Connectors!$A$2:$A$1000,0)),"")&lt;&gt;"Y",IFERROR(INDEX(Connectors!$F$2:$F$1000,MATCH(F13,Connectors!$A$2:$A$1000,0)),"")&lt;&gt;"Y")),"fio HV em ficha não HV rated; ","")&amp;IF(AND(COUNTIF($W$2:$W$1000,W13)+COUNTIF($X$2:$X$1000,W13)&gt;1,ISERROR(MATCH(IFERROR(INDEX(Connectors!$D$2:$D$1000,MATCH(D13,Connectors!$A$2:$A$1000,0)),""),{"SPLICE","STUD"},0))),"pino from com &gt;1 fio; ","")&amp;IF(AND(COUNTIF($W$2:$W$1000,X13)+COUNTIF($X$2:$X$1000,X13)&gt;1,ISERROR(MATCH(IFERROR(INDEX(Connectors!$D$2:$D$1000,MATCH(F13,Connectors!$A$2:$A$1000,0)),""),{"SPLICE","STUD"},0))),"pino to com &gt;1 fio; ","")&amp;IF(I13="","sem secção; ",""))</f>
        <v/>
      </c>
      <c r="W13" s="11">
        <f>IF(D13="","",D13&amp;":"&amp;E13&amp;IF(EXACT(E13,UPPER(E13)),"","|lc"))</f>
        <v/>
      </c>
      <c r="X13" s="11">
        <f>IF(F13="","",F13&amp;":"&amp;G13&amp;IF(EXACT(G13,UPPER(G13)),"","|lc"))</f>
        <v/>
      </c>
      <c r="Y13" s="9" t="n"/>
      <c r="Z13" s="9" t="n"/>
    </row>
    <row r="14">
      <c r="A14" s="9" t="inlineStr">
        <is>
          <t>W-DATABOX-013</t>
        </is>
      </c>
      <c r="B14" s="9" t="inlineStr">
        <is>
          <t>DATABOX</t>
        </is>
      </c>
      <c r="C14" s="9" t="inlineStr">
        <is>
          <t>EMERGENCY J1-1</t>
        </is>
      </c>
      <c r="D14" s="9" t="inlineStr">
        <is>
          <t>SPL EMERGENCY J1-1</t>
        </is>
      </c>
      <c r="E14" s="9" t="inlineStr">
        <is>
          <t>S</t>
        </is>
      </c>
      <c r="F14" s="9" t="inlineStr">
        <is>
          <t>ACQUISITION J2</t>
        </is>
      </c>
      <c r="G14" s="9" t="inlineStr">
        <is>
          <t>6</t>
        </is>
      </c>
      <c r="H14" s="9" t="inlineStr">
        <is>
          <t>VT</t>
        </is>
      </c>
      <c r="I14" s="10" t="n"/>
      <c r="J14" s="11">
        <f>IF(I14="","",IFERROR(INDEX(Lists!$F$3:$F$17,MATCH(I14,Lists!$E$3:$E$17,0)),"?"))</f>
        <v/>
      </c>
      <c r="K14" s="9" t="inlineStr">
        <is>
          <t>N</t>
        </is>
      </c>
      <c r="L14" s="9" t="inlineStr">
        <is>
          <t>24V</t>
        </is>
      </c>
      <c r="M14" s="10" t="n"/>
      <c r="N14" s="11">
        <f>IF(D14="","",IFERROR(INDEX(Connectors!$J$2:$J$1000,MATCH(D14,Connectors!$A$2:$A$1000,0))&amp;"",""))</f>
        <v/>
      </c>
      <c r="O14" s="11">
        <f>IF(F14="","",IFERROR(INDEX(Connectors!$J$2:$J$1000,MATCH(F14,Connectors!$A$2:$A$1000,0))&amp;"",""))</f>
        <v/>
      </c>
      <c r="P14" s="9" t="n"/>
      <c r="Q14" s="9" t="n"/>
      <c r="R14" s="10" t="n"/>
      <c r="S14" s="9" t="inlineStr">
        <is>
          <t>Inertia Shutdown Circuit Measure Point</t>
        </is>
      </c>
      <c r="T14" s="9" t="inlineStr">
        <is>
          <t>2 pontas</t>
        </is>
      </c>
      <c r="U14" s="9" t="n"/>
      <c r="V14" s="11">
        <f>IF(D14="","",IF(COUNTIF(Connectors!$A$2:$A$1000,D14)=0,"from_ref não existe; ","")&amp;IF(COUNTIF(Connectors!$A$2:$A$1000,F14)=0,"to_ref não existe; ","")&amp;IF(AND(H14&lt;&gt;"",COUNTIF(Lists!$A$3:$A$14,H14)=0),"cor inválida; ","")&amp;IF(H14="","sem cor; ","")&amp;IF((K14="Y")&lt;&gt;(H14="OG"),"HV e laranja não batem; ","")&amp;IF(AND(K14="Y",OR(IFERROR(INDEX(Connectors!$F$2:$F$1000,MATCH(D14,Connectors!$A$2:$A$1000,0)),"")&lt;&gt;"Y",IFERROR(INDEX(Connectors!$F$2:$F$1000,MATCH(F14,Connectors!$A$2:$A$1000,0)),"")&lt;&gt;"Y")),"fio HV em ficha não HV rated; ","")&amp;IF(AND(COUNTIF($W$2:$W$1000,W14)+COUNTIF($X$2:$X$1000,W14)&gt;1,ISERROR(MATCH(IFERROR(INDEX(Connectors!$D$2:$D$1000,MATCH(D14,Connectors!$A$2:$A$1000,0)),""),{"SPLICE","STUD"},0))),"pino from com &gt;1 fio; ","")&amp;IF(AND(COUNTIF($W$2:$W$1000,X14)+COUNTIF($X$2:$X$1000,X14)&gt;1,ISERROR(MATCH(IFERROR(INDEX(Connectors!$D$2:$D$1000,MATCH(F14,Connectors!$A$2:$A$1000,0)),""),{"SPLICE","STUD"},0))),"pino to com &gt;1 fio; ","")&amp;IF(I14="","sem secção; ",""))</f>
        <v/>
      </c>
      <c r="W14" s="11">
        <f>IF(D14="","",D14&amp;":"&amp;E14&amp;IF(EXACT(E14,UPPER(E14)),"","|lc"))</f>
        <v/>
      </c>
      <c r="X14" s="11">
        <f>IF(F14="","",F14&amp;":"&amp;G14&amp;IF(EXACT(G14,UPPER(G14)),"","|lc"))</f>
        <v/>
      </c>
      <c r="Y14" s="9" t="n"/>
      <c r="Z14" s="9" t="n"/>
    </row>
    <row r="15">
      <c r="A15" s="9" t="inlineStr">
        <is>
          <t>W-DATABOX-014</t>
        </is>
      </c>
      <c r="B15" s="9" t="inlineStr">
        <is>
          <t>DATABOX</t>
        </is>
      </c>
      <c r="C15" s="9" t="inlineStr">
        <is>
          <t>IGNITION_SIGNAL</t>
        </is>
      </c>
      <c r="D15" s="9" t="inlineStr">
        <is>
          <t>IGNITION J1</t>
        </is>
      </c>
      <c r="E15" s="9" t="inlineStr">
        <is>
          <t>2</t>
        </is>
      </c>
      <c r="F15" s="9" t="inlineStr">
        <is>
          <t>ACQUISITION J2</t>
        </is>
      </c>
      <c r="G15" s="9" t="inlineStr">
        <is>
          <t>7</t>
        </is>
      </c>
      <c r="H15" s="9" t="inlineStr">
        <is>
          <t>WH</t>
        </is>
      </c>
      <c r="I15" s="10" t="n"/>
      <c r="J15" s="11">
        <f>IF(I15="","",IFERROR(INDEX(Lists!$F$3:$F$17,MATCH(I15,Lists!$E$3:$E$17,0)),"?"))</f>
        <v/>
      </c>
      <c r="K15" s="9" t="inlineStr">
        <is>
          <t>N</t>
        </is>
      </c>
      <c r="L15" s="9" t="inlineStr">
        <is>
          <t>24V</t>
        </is>
      </c>
      <c r="M15" s="10" t="n"/>
      <c r="N15" s="11">
        <f>IF(D15="","",IFERROR(INDEX(Connectors!$J$2:$J$1000,MATCH(D15,Connectors!$A$2:$A$1000,0))&amp;"",""))</f>
        <v/>
      </c>
      <c r="O15" s="11">
        <f>IF(F15="","",IFERROR(INDEX(Connectors!$J$2:$J$1000,MATCH(F15,Connectors!$A$2:$A$1000,0))&amp;"",""))</f>
        <v/>
      </c>
      <c r="P15" s="9" t="n"/>
      <c r="Q15" s="9" t="n"/>
      <c r="R15" s="10" t="n"/>
      <c r="S15" s="9" t="inlineStr">
        <is>
          <t>Ignition Button Signal</t>
        </is>
      </c>
      <c r="T15" s="9" t="inlineStr">
        <is>
          <t>2 pontas</t>
        </is>
      </c>
      <c r="U15" s="9" t="n"/>
      <c r="V15" s="11">
        <f>IF(D15="","",IF(COUNTIF(Connectors!$A$2:$A$1000,D15)=0,"from_ref não existe; ","")&amp;IF(COUNTIF(Connectors!$A$2:$A$1000,F15)=0,"to_ref não existe; ","")&amp;IF(AND(H15&lt;&gt;"",COUNTIF(Lists!$A$3:$A$14,H15)=0),"cor inválida; ","")&amp;IF(H15="","sem cor; ","")&amp;IF((K15="Y")&lt;&gt;(H15="OG"),"HV e laranja não batem; ","")&amp;IF(AND(K15="Y",OR(IFERROR(INDEX(Connectors!$F$2:$F$1000,MATCH(D15,Connectors!$A$2:$A$1000,0)),"")&lt;&gt;"Y",IFERROR(INDEX(Connectors!$F$2:$F$1000,MATCH(F15,Connectors!$A$2:$A$1000,0)),"")&lt;&gt;"Y")),"fio HV em ficha não HV rated; ","")&amp;IF(AND(COUNTIF($W$2:$W$1000,W15)+COUNTIF($X$2:$X$1000,W15)&gt;1,ISERROR(MATCH(IFERROR(INDEX(Connectors!$D$2:$D$1000,MATCH(D15,Connectors!$A$2:$A$1000,0)),""),{"SPLICE","STUD"},0))),"pino from com &gt;1 fio; ","")&amp;IF(AND(COUNTIF($W$2:$W$1000,X15)+COUNTIF($X$2:$X$1000,X15)&gt;1,ISERROR(MATCH(IFERROR(INDEX(Connectors!$D$2:$D$1000,MATCH(F15,Connectors!$A$2:$A$1000,0)),""),{"SPLICE","STUD"},0))),"pino to com &gt;1 fio; ","")&amp;IF(I15="","sem secção; ",""))</f>
        <v/>
      </c>
      <c r="W15" s="11">
        <f>IF(D15="","",D15&amp;":"&amp;E15&amp;IF(EXACT(E15,UPPER(E15)),"","|lc"))</f>
        <v/>
      </c>
      <c r="X15" s="11">
        <f>IF(F15="","",F15&amp;":"&amp;G15&amp;IF(EXACT(G15,UPPER(G15)),"","|lc"))</f>
        <v/>
      </c>
      <c r="Y15" s="9" t="n"/>
      <c r="Z15" s="9" t="n"/>
    </row>
    <row r="16">
      <c r="A16" s="9" t="inlineStr">
        <is>
          <t>W-DATABOX-015</t>
        </is>
      </c>
      <c r="B16" s="9" t="inlineStr">
        <is>
          <t>DATABOX</t>
        </is>
      </c>
      <c r="C16" s="9" t="inlineStr">
        <is>
          <t>EMERGENCY J1-2</t>
        </is>
      </c>
      <c r="D16" s="9" t="inlineStr">
        <is>
          <t>SPL EMERGENCY J1-2</t>
        </is>
      </c>
      <c r="E16" s="9" t="inlineStr">
        <is>
          <t>S</t>
        </is>
      </c>
      <c r="F16" s="9" t="inlineStr">
        <is>
          <t>ACQUISITION J2</t>
        </is>
      </c>
      <c r="G16" s="9" t="inlineStr">
        <is>
          <t>8</t>
        </is>
      </c>
      <c r="H16" s="9" t="inlineStr">
        <is>
          <t>VT</t>
        </is>
      </c>
      <c r="I16" s="10" t="n"/>
      <c r="J16" s="11">
        <f>IF(I16="","",IFERROR(INDEX(Lists!$F$3:$F$17,MATCH(I16,Lists!$E$3:$E$17,0)),"?"))</f>
        <v/>
      </c>
      <c r="K16" s="9" t="inlineStr">
        <is>
          <t>N</t>
        </is>
      </c>
      <c r="L16" s="9" t="inlineStr">
        <is>
          <t>24V</t>
        </is>
      </c>
      <c r="M16" s="10" t="n"/>
      <c r="N16" s="11">
        <f>IF(D16="","",IFERROR(INDEX(Connectors!$J$2:$J$1000,MATCH(D16,Connectors!$A$2:$A$1000,0))&amp;"",""))</f>
        <v/>
      </c>
      <c r="O16" s="11">
        <f>IF(F16="","",IFERROR(INDEX(Connectors!$J$2:$J$1000,MATCH(F16,Connectors!$A$2:$A$1000,0))&amp;"",""))</f>
        <v/>
      </c>
      <c r="P16" s="9" t="n"/>
      <c r="Q16" s="9" t="n"/>
      <c r="R16" s="10" t="n"/>
      <c r="S16" s="9" t="inlineStr">
        <is>
          <t>Emergency Button Shutdown Circuit Measure Point</t>
        </is>
      </c>
      <c r="T16" s="9" t="inlineStr">
        <is>
          <t>2 pontas</t>
        </is>
      </c>
      <c r="U16" s="9" t="n"/>
      <c r="V16" s="11">
        <f>IF(D16="","",IF(COUNTIF(Connectors!$A$2:$A$1000,D16)=0,"from_ref não existe; ","")&amp;IF(COUNTIF(Connectors!$A$2:$A$1000,F16)=0,"to_ref não existe; ","")&amp;IF(AND(H16&lt;&gt;"",COUNTIF(Lists!$A$3:$A$14,H16)=0),"cor inválida; ","")&amp;IF(H16="","sem cor; ","")&amp;IF((K16="Y")&lt;&gt;(H16="OG"),"HV e laranja não batem; ","")&amp;IF(AND(K16="Y",OR(IFERROR(INDEX(Connectors!$F$2:$F$1000,MATCH(D16,Connectors!$A$2:$A$1000,0)),"")&lt;&gt;"Y",IFERROR(INDEX(Connectors!$F$2:$F$1000,MATCH(F16,Connectors!$A$2:$A$1000,0)),"")&lt;&gt;"Y")),"fio HV em ficha não HV rated; ","")&amp;IF(AND(COUNTIF($W$2:$W$1000,W16)+COUNTIF($X$2:$X$1000,W16)&gt;1,ISERROR(MATCH(IFERROR(INDEX(Connectors!$D$2:$D$1000,MATCH(D16,Connectors!$A$2:$A$1000,0)),""),{"SPLICE","STUD"},0))),"pino from com &gt;1 fio; ","")&amp;IF(AND(COUNTIF($W$2:$W$1000,X16)+COUNTIF($X$2:$X$1000,X16)&gt;1,ISERROR(MATCH(IFERROR(INDEX(Connectors!$D$2:$D$1000,MATCH(F16,Connectors!$A$2:$A$1000,0)),""),{"SPLICE","STUD"},0))),"pino to com &gt;1 fio; ","")&amp;IF(I16="","sem secção; ",""))</f>
        <v/>
      </c>
      <c r="W16" s="11">
        <f>IF(D16="","",D16&amp;":"&amp;E16&amp;IF(EXACT(E16,UPPER(E16)),"","|lc"))</f>
        <v/>
      </c>
      <c r="X16" s="11">
        <f>IF(F16="","",F16&amp;":"&amp;G16&amp;IF(EXACT(G16,UPPER(G16)),"","|lc"))</f>
        <v/>
      </c>
      <c r="Y16" s="9" t="n"/>
      <c r="Z16" s="9" t="n"/>
    </row>
    <row r="17">
      <c r="A17" s="9" t="inlineStr">
        <is>
          <t>W-DATABOX-016</t>
        </is>
      </c>
      <c r="B17" s="9" t="inlineStr">
        <is>
          <t>DATABOX</t>
        </is>
      </c>
      <c r="C17" s="9" t="inlineStr">
        <is>
          <t>ST_ANGLE_SUPPLY</t>
        </is>
      </c>
      <c r="D17" s="9" t="inlineStr">
        <is>
          <t>ACQUISITION J3</t>
        </is>
      </c>
      <c r="E17" s="9" t="inlineStr">
        <is>
          <t>1</t>
        </is>
      </c>
      <c r="F17" s="9" t="inlineStr">
        <is>
          <t>DATABOX J1</t>
        </is>
      </c>
      <c r="G17" s="9" t="inlineStr">
        <is>
          <t>J</t>
        </is>
      </c>
      <c r="H17" s="9" t="inlineStr">
        <is>
          <t>YE</t>
        </is>
      </c>
      <c r="I17" s="10" t="n"/>
      <c r="J17" s="11">
        <f>IF(I17="","",IFERROR(INDEX(Lists!$F$3:$F$17,MATCH(I17,Lists!$E$3:$E$17,0)),"?"))</f>
        <v/>
      </c>
      <c r="K17" s="9" t="inlineStr">
        <is>
          <t>N</t>
        </is>
      </c>
      <c r="L17" s="9" t="inlineStr">
        <is>
          <t>5V</t>
        </is>
      </c>
      <c r="M17" s="10" t="n"/>
      <c r="N17" s="11">
        <f>IF(D17="","",IFERROR(INDEX(Connectors!$J$2:$J$1000,MATCH(D17,Connectors!$A$2:$A$1000,0))&amp;"",""))</f>
        <v/>
      </c>
      <c r="O17" s="11">
        <f>IF(F17="","",IFERROR(INDEX(Connectors!$J$2:$J$1000,MATCH(F17,Connectors!$A$2:$A$1000,0))&amp;"",""))</f>
        <v/>
      </c>
      <c r="P17" s="9" t="n"/>
      <c r="Q17" s="9" t="n"/>
      <c r="R17" s="10" t="n"/>
      <c r="S17" s="9" t="inlineStr">
        <is>
          <t>Steering Angle Sensor Supply</t>
        </is>
      </c>
      <c r="T17" s="9" t="inlineStr">
        <is>
          <t>2 pontas</t>
        </is>
      </c>
      <c r="U17" s="9" t="n"/>
      <c r="V17" s="11">
        <f>IF(D17="","",IF(COUNTIF(Connectors!$A$2:$A$1000,D17)=0,"from_ref não existe; ","")&amp;IF(COUNTIF(Connectors!$A$2:$A$1000,F17)=0,"to_ref não existe; ","")&amp;IF(AND(H17&lt;&gt;"",COUNTIF(Lists!$A$3:$A$14,H17)=0),"cor inválida; ","")&amp;IF(H17="","sem cor; ","")&amp;IF((K17="Y")&lt;&gt;(H17="OG"),"HV e laranja não batem; ","")&amp;IF(AND(K17="Y",OR(IFERROR(INDEX(Connectors!$F$2:$F$1000,MATCH(D17,Connectors!$A$2:$A$1000,0)),"")&lt;&gt;"Y",IFERROR(INDEX(Connectors!$F$2:$F$1000,MATCH(F17,Connectors!$A$2:$A$1000,0)),"")&lt;&gt;"Y")),"fio HV em ficha não HV rated; ","")&amp;IF(AND(COUNTIF($W$2:$W$1000,W17)+COUNTIF($X$2:$X$1000,W17)&gt;1,ISERROR(MATCH(IFERROR(INDEX(Connectors!$D$2:$D$1000,MATCH(D17,Connectors!$A$2:$A$1000,0)),""),{"SPLICE","STUD"},0))),"pino from com &gt;1 fio; ","")&amp;IF(AND(COUNTIF($W$2:$W$1000,X17)+COUNTIF($X$2:$X$1000,X17)&gt;1,ISERROR(MATCH(IFERROR(INDEX(Connectors!$D$2:$D$1000,MATCH(F17,Connectors!$A$2:$A$1000,0)),""),{"SPLICE","STUD"},0))),"pino to com &gt;1 fio; ","")&amp;IF(I17="","sem secção; ",""))</f>
        <v/>
      </c>
      <c r="W17" s="11">
        <f>IF(D17="","",D17&amp;":"&amp;E17&amp;IF(EXACT(E17,UPPER(E17)),"","|lc"))</f>
        <v/>
      </c>
      <c r="X17" s="11">
        <f>IF(F17="","",F17&amp;":"&amp;G17&amp;IF(EXACT(G17,UPPER(G17)),"","|lc"))</f>
        <v/>
      </c>
      <c r="Y17" s="9" t="n"/>
      <c r="Z17" s="9" t="n"/>
    </row>
    <row r="18">
      <c r="A18" s="9" t="inlineStr">
        <is>
          <t>W-DATABOX-017</t>
        </is>
      </c>
      <c r="B18" s="9" t="inlineStr">
        <is>
          <t>DATABOX</t>
        </is>
      </c>
      <c r="C18" s="9" t="inlineStr">
        <is>
          <t>SUSP_LEFT_SUPPLY</t>
        </is>
      </c>
      <c r="D18" s="9" t="inlineStr">
        <is>
          <t>ACQUISITION J3</t>
        </is>
      </c>
      <c r="E18" s="9" t="inlineStr">
        <is>
          <t>2</t>
        </is>
      </c>
      <c r="F18" s="9" t="inlineStr">
        <is>
          <t>DATABOX J1</t>
        </is>
      </c>
      <c r="G18" s="9" t="inlineStr">
        <is>
          <t>M</t>
        </is>
      </c>
      <c r="H18" s="9" t="inlineStr">
        <is>
          <t>YE</t>
        </is>
      </c>
      <c r="I18" s="10" t="n"/>
      <c r="J18" s="11">
        <f>IF(I18="","",IFERROR(INDEX(Lists!$F$3:$F$17,MATCH(I18,Lists!$E$3:$E$17,0)),"?"))</f>
        <v/>
      </c>
      <c r="K18" s="9" t="inlineStr">
        <is>
          <t>N</t>
        </is>
      </c>
      <c r="L18" s="9" t="inlineStr">
        <is>
          <t>5V</t>
        </is>
      </c>
      <c r="M18" s="10" t="n"/>
      <c r="N18" s="11">
        <f>IF(D18="","",IFERROR(INDEX(Connectors!$J$2:$J$1000,MATCH(D18,Connectors!$A$2:$A$1000,0))&amp;"",""))</f>
        <v/>
      </c>
      <c r="O18" s="11">
        <f>IF(F18="","",IFERROR(INDEX(Connectors!$J$2:$J$1000,MATCH(F18,Connectors!$A$2:$A$1000,0))&amp;"",""))</f>
        <v/>
      </c>
      <c r="P18" s="9" t="n"/>
      <c r="Q18" s="9" t="n"/>
      <c r="R18" s="10" t="n"/>
      <c r="S18" s="9" t="inlineStr">
        <is>
          <t>Left Suspension Sensor Supply</t>
        </is>
      </c>
      <c r="T18" s="9" t="inlineStr">
        <is>
          <t>2 pontas</t>
        </is>
      </c>
      <c r="U18" s="9" t="n"/>
      <c r="V18" s="11">
        <f>IF(D18="","",IF(COUNTIF(Connectors!$A$2:$A$1000,D18)=0,"from_ref não existe; ","")&amp;IF(COUNTIF(Connectors!$A$2:$A$1000,F18)=0,"to_ref não existe; ","")&amp;IF(AND(H18&lt;&gt;"",COUNTIF(Lists!$A$3:$A$14,H18)=0),"cor inválida; ","")&amp;IF(H18="","sem cor; ","")&amp;IF((K18="Y")&lt;&gt;(H18="OG"),"HV e laranja não batem; ","")&amp;IF(AND(K18="Y",OR(IFERROR(INDEX(Connectors!$F$2:$F$1000,MATCH(D18,Connectors!$A$2:$A$1000,0)),"")&lt;&gt;"Y",IFERROR(INDEX(Connectors!$F$2:$F$1000,MATCH(F18,Connectors!$A$2:$A$1000,0)),"")&lt;&gt;"Y")),"fio HV em ficha não HV rated; ","")&amp;IF(AND(COUNTIF($W$2:$W$1000,W18)+COUNTIF($X$2:$X$1000,W18)&gt;1,ISERROR(MATCH(IFERROR(INDEX(Connectors!$D$2:$D$1000,MATCH(D18,Connectors!$A$2:$A$1000,0)),""),{"SPLICE","STUD"},0))),"pino from com &gt;1 fio; ","")&amp;IF(AND(COUNTIF($W$2:$W$1000,X18)+COUNTIF($X$2:$X$1000,X18)&gt;1,ISERROR(MATCH(IFERROR(INDEX(Connectors!$D$2:$D$1000,MATCH(F18,Connectors!$A$2:$A$1000,0)),""),{"SPLICE","STUD"},0))),"pino to com &gt;1 fio; ","")&amp;IF(I18="","sem secção; ",""))</f>
        <v/>
      </c>
      <c r="W18" s="11">
        <f>IF(D18="","",D18&amp;":"&amp;E18&amp;IF(EXACT(E18,UPPER(E18)),"","|lc"))</f>
        <v/>
      </c>
      <c r="X18" s="11">
        <f>IF(F18="","",F18&amp;":"&amp;G18&amp;IF(EXACT(G18,UPPER(G18)),"","|lc"))</f>
        <v/>
      </c>
      <c r="Y18" s="9" t="n"/>
      <c r="Z18" s="9" t="n"/>
    </row>
    <row r="19">
      <c r="A19" s="9" t="inlineStr">
        <is>
          <t>W-DATABOX-018</t>
        </is>
      </c>
      <c r="B19" s="9" t="inlineStr">
        <is>
          <t>DATABOX</t>
        </is>
      </c>
      <c r="C19" s="9" t="inlineStr">
        <is>
          <t>SUSP_RIGHT_SUPPLY</t>
        </is>
      </c>
      <c r="D19" s="9" t="inlineStr">
        <is>
          <t>ACQUISITION J3</t>
        </is>
      </c>
      <c r="E19" s="9" t="inlineStr">
        <is>
          <t>3</t>
        </is>
      </c>
      <c r="F19" s="9" t="inlineStr">
        <is>
          <t>DATABOX J1</t>
        </is>
      </c>
      <c r="G19" s="9" t="inlineStr">
        <is>
          <t>R</t>
        </is>
      </c>
      <c r="H19" s="9" t="inlineStr">
        <is>
          <t>YE</t>
        </is>
      </c>
      <c r="I19" s="10" t="n"/>
      <c r="J19" s="11">
        <f>IF(I19="","",IFERROR(INDEX(Lists!$F$3:$F$17,MATCH(I19,Lists!$E$3:$E$17,0)),"?"))</f>
        <v/>
      </c>
      <c r="K19" s="9" t="inlineStr">
        <is>
          <t>N</t>
        </is>
      </c>
      <c r="L19" s="9" t="inlineStr">
        <is>
          <t>5V</t>
        </is>
      </c>
      <c r="M19" s="10" t="n"/>
      <c r="N19" s="11">
        <f>IF(D19="","",IFERROR(INDEX(Connectors!$J$2:$J$1000,MATCH(D19,Connectors!$A$2:$A$1000,0))&amp;"",""))</f>
        <v/>
      </c>
      <c r="O19" s="11">
        <f>IF(F19="","",IFERROR(INDEX(Connectors!$J$2:$J$1000,MATCH(F19,Connectors!$A$2:$A$1000,0))&amp;"",""))</f>
        <v/>
      </c>
      <c r="P19" s="9" t="n"/>
      <c r="Q19" s="9" t="n"/>
      <c r="R19" s="10" t="n"/>
      <c r="S19" s="9" t="inlineStr">
        <is>
          <t>Right Suspension Sensor Supply</t>
        </is>
      </c>
      <c r="T19" s="9" t="inlineStr">
        <is>
          <t>2 pontas</t>
        </is>
      </c>
      <c r="U19" s="9" t="n"/>
      <c r="V19" s="11">
        <f>IF(D19="","",IF(COUNTIF(Connectors!$A$2:$A$1000,D19)=0,"from_ref não existe; ","")&amp;IF(COUNTIF(Connectors!$A$2:$A$1000,F19)=0,"to_ref não existe; ","")&amp;IF(AND(H19&lt;&gt;"",COUNTIF(Lists!$A$3:$A$14,H19)=0),"cor inválida; ","")&amp;IF(H19="","sem cor; ","")&amp;IF((K19="Y")&lt;&gt;(H19="OG"),"HV e laranja não batem; ","")&amp;IF(AND(K19="Y",OR(IFERROR(INDEX(Connectors!$F$2:$F$1000,MATCH(D19,Connectors!$A$2:$A$1000,0)),"")&lt;&gt;"Y",IFERROR(INDEX(Connectors!$F$2:$F$1000,MATCH(F19,Connectors!$A$2:$A$1000,0)),"")&lt;&gt;"Y")),"fio HV em ficha não HV rated; ","")&amp;IF(AND(COUNTIF($W$2:$W$1000,W19)+COUNTIF($X$2:$X$1000,W19)&gt;1,ISERROR(MATCH(IFERROR(INDEX(Connectors!$D$2:$D$1000,MATCH(D19,Connectors!$A$2:$A$1000,0)),""),{"SPLICE","STUD"},0))),"pino from com &gt;1 fio; ","")&amp;IF(AND(COUNTIF($W$2:$W$1000,X19)+COUNTIF($X$2:$X$1000,X19)&gt;1,ISERROR(MATCH(IFERROR(INDEX(Connectors!$D$2:$D$1000,MATCH(F19,Connectors!$A$2:$A$1000,0)),""),{"SPLICE","STUD"},0))),"pino to com &gt;1 fio; ","")&amp;IF(I19="","sem secção; ",""))</f>
        <v/>
      </c>
      <c r="W19" s="11">
        <f>IF(D19="","",D19&amp;":"&amp;E19&amp;IF(EXACT(E19,UPPER(E19)),"","|lc"))</f>
        <v/>
      </c>
      <c r="X19" s="11">
        <f>IF(F19="","",F19&amp;":"&amp;G19&amp;IF(EXACT(G19,UPPER(G19)),"","|lc"))</f>
        <v/>
      </c>
      <c r="Y19" s="9" t="n"/>
      <c r="Z19" s="9" t="n"/>
    </row>
    <row r="20">
      <c r="A20" s="9" t="inlineStr">
        <is>
          <t>W-DATABOX-019</t>
        </is>
      </c>
      <c r="B20" s="9" t="inlineStr">
        <is>
          <t>DATABOX</t>
        </is>
      </c>
      <c r="C20" s="9" t="inlineStr">
        <is>
          <t>IGNITION_SUPPLY</t>
        </is>
      </c>
      <c r="D20" s="9" t="inlineStr">
        <is>
          <t>ACQUISITION J3</t>
        </is>
      </c>
      <c r="E20" s="9" t="inlineStr">
        <is>
          <t>4</t>
        </is>
      </c>
      <c r="F20" s="9" t="inlineStr">
        <is>
          <t>IGNITION J1</t>
        </is>
      </c>
      <c r="G20" s="9" t="inlineStr">
        <is>
          <t>1</t>
        </is>
      </c>
      <c r="H20" s="9" t="inlineStr">
        <is>
          <t>RD</t>
        </is>
      </c>
      <c r="I20" s="10" t="n"/>
      <c r="J20" s="11">
        <f>IF(I20="","",IFERROR(INDEX(Lists!$F$3:$F$17,MATCH(I20,Lists!$E$3:$E$17,0)),"?"))</f>
        <v/>
      </c>
      <c r="K20" s="9" t="inlineStr">
        <is>
          <t>N</t>
        </is>
      </c>
      <c r="L20" s="9" t="inlineStr">
        <is>
          <t>24V</t>
        </is>
      </c>
      <c r="M20" s="10" t="n"/>
      <c r="N20" s="11">
        <f>IF(D20="","",IFERROR(INDEX(Connectors!$J$2:$J$1000,MATCH(D20,Connectors!$A$2:$A$1000,0))&amp;"",""))</f>
        <v/>
      </c>
      <c r="O20" s="11">
        <f>IF(F20="","",IFERROR(INDEX(Connectors!$J$2:$J$1000,MATCH(F20,Connectors!$A$2:$A$1000,0))&amp;"",""))</f>
        <v/>
      </c>
      <c r="P20" s="9" t="n"/>
      <c r="Q20" s="9" t="n"/>
      <c r="R20" s="10" t="n"/>
      <c r="S20" s="9" t="inlineStr">
        <is>
          <t>Ignition Button Supply</t>
        </is>
      </c>
      <c r="T20" s="9" t="inlineStr">
        <is>
          <t>2 pontas</t>
        </is>
      </c>
      <c r="U20" s="9" t="n"/>
      <c r="V20" s="11">
        <f>IF(D20="","",IF(COUNTIF(Connectors!$A$2:$A$1000,D20)=0,"from_ref não existe; ","")&amp;IF(COUNTIF(Connectors!$A$2:$A$1000,F20)=0,"to_ref não existe; ","")&amp;IF(AND(H20&lt;&gt;"",COUNTIF(Lists!$A$3:$A$14,H20)=0),"cor inválida; ","")&amp;IF(H20="","sem cor; ","")&amp;IF((K20="Y")&lt;&gt;(H20="OG"),"HV e laranja não batem; ","")&amp;IF(AND(K20="Y",OR(IFERROR(INDEX(Connectors!$F$2:$F$1000,MATCH(D20,Connectors!$A$2:$A$1000,0)),"")&lt;&gt;"Y",IFERROR(INDEX(Connectors!$F$2:$F$1000,MATCH(F20,Connectors!$A$2:$A$1000,0)),"")&lt;&gt;"Y")),"fio HV em ficha não HV rated; ","")&amp;IF(AND(COUNTIF($W$2:$W$1000,W20)+COUNTIF($X$2:$X$1000,W20)&gt;1,ISERROR(MATCH(IFERROR(INDEX(Connectors!$D$2:$D$1000,MATCH(D20,Connectors!$A$2:$A$1000,0)),""),{"SPLICE","STUD"},0))),"pino from com &gt;1 fio; ","")&amp;IF(AND(COUNTIF($W$2:$W$1000,X20)+COUNTIF($X$2:$X$1000,X20)&gt;1,ISERROR(MATCH(IFERROR(INDEX(Connectors!$D$2:$D$1000,MATCH(F20,Connectors!$A$2:$A$1000,0)),""),{"SPLICE","STUD"},0))),"pino to com &gt;1 fio; ","")&amp;IF(I20="","sem secção; ",""))</f>
        <v/>
      </c>
      <c r="W20" s="11">
        <f>IF(D20="","",D20&amp;":"&amp;E20&amp;IF(EXACT(E20,UPPER(E20)),"","|lc"))</f>
        <v/>
      </c>
      <c r="X20" s="11">
        <f>IF(F20="","",F20&amp;":"&amp;G20&amp;IF(EXACT(G20,UPPER(G20)),"","|lc"))</f>
        <v/>
      </c>
      <c r="Y20" s="9" t="n"/>
      <c r="Z20" s="9" t="n"/>
    </row>
    <row r="21">
      <c r="A21" s="9" t="inlineStr">
        <is>
          <t>W-DATABOX-020</t>
        </is>
      </c>
      <c r="B21" s="9" t="inlineStr">
        <is>
          <t>DATABOX</t>
        </is>
      </c>
      <c r="C21" s="9" t="inlineStr">
        <is>
          <t>R2D-SUPPLY</t>
        </is>
      </c>
      <c r="D21" s="9" t="inlineStr">
        <is>
          <t>ACQUISITION J3</t>
        </is>
      </c>
      <c r="E21" s="9" t="inlineStr">
        <is>
          <t>5</t>
        </is>
      </c>
      <c r="F21" s="9" t="inlineStr">
        <is>
          <t>R2D J1</t>
        </is>
      </c>
      <c r="G21" s="9" t="inlineStr">
        <is>
          <t>1</t>
        </is>
      </c>
      <c r="H21" s="9" t="inlineStr">
        <is>
          <t>RD</t>
        </is>
      </c>
      <c r="I21" s="10" t="n"/>
      <c r="J21" s="11">
        <f>IF(I21="","",IFERROR(INDEX(Lists!$F$3:$F$17,MATCH(I21,Lists!$E$3:$E$17,0)),"?"))</f>
        <v/>
      </c>
      <c r="K21" s="9" t="inlineStr">
        <is>
          <t>N</t>
        </is>
      </c>
      <c r="L21" s="9" t="inlineStr">
        <is>
          <t>24V</t>
        </is>
      </c>
      <c r="M21" s="10" t="n"/>
      <c r="N21" s="11">
        <f>IF(D21="","",IFERROR(INDEX(Connectors!$J$2:$J$1000,MATCH(D21,Connectors!$A$2:$A$1000,0))&amp;"",""))</f>
        <v/>
      </c>
      <c r="O21" s="11">
        <f>IF(F21="","",IFERROR(INDEX(Connectors!$J$2:$J$1000,MATCH(F21,Connectors!$A$2:$A$1000,0))&amp;"",""))</f>
        <v/>
      </c>
      <c r="P21" s="9" t="n"/>
      <c r="Q21" s="9" t="n"/>
      <c r="R21" s="10" t="n"/>
      <c r="S21" s="9" t="inlineStr">
        <is>
          <t>Ready to Drive Button Supply</t>
        </is>
      </c>
      <c r="T21" s="9" t="inlineStr">
        <is>
          <t>2 pontas</t>
        </is>
      </c>
      <c r="U21" s="9" t="n"/>
      <c r="V21" s="11">
        <f>IF(D21="","",IF(COUNTIF(Connectors!$A$2:$A$1000,D21)=0,"from_ref não existe; ","")&amp;IF(COUNTIF(Connectors!$A$2:$A$1000,F21)=0,"to_ref não existe; ","")&amp;IF(AND(H21&lt;&gt;"",COUNTIF(Lists!$A$3:$A$14,H21)=0),"cor inválida; ","")&amp;IF(H21="","sem cor; ","")&amp;IF((K21="Y")&lt;&gt;(H21="OG"),"HV e laranja não batem; ","")&amp;IF(AND(K21="Y",OR(IFERROR(INDEX(Connectors!$F$2:$F$1000,MATCH(D21,Connectors!$A$2:$A$1000,0)),"")&lt;&gt;"Y",IFERROR(INDEX(Connectors!$F$2:$F$1000,MATCH(F21,Connectors!$A$2:$A$1000,0)),"")&lt;&gt;"Y")),"fio HV em ficha não HV rated; ","")&amp;IF(AND(COUNTIF($W$2:$W$1000,W21)+COUNTIF($X$2:$X$1000,W21)&gt;1,ISERROR(MATCH(IFERROR(INDEX(Connectors!$D$2:$D$1000,MATCH(D21,Connectors!$A$2:$A$1000,0)),""),{"SPLICE","STUD"},0))),"pino from com &gt;1 fio; ","")&amp;IF(AND(COUNTIF($W$2:$W$1000,X21)+COUNTIF($X$2:$X$1000,X21)&gt;1,ISERROR(MATCH(IFERROR(INDEX(Connectors!$D$2:$D$1000,MATCH(F21,Connectors!$A$2:$A$1000,0)),""),{"SPLICE","STUD"},0))),"pino to com &gt;1 fio; ","")&amp;IF(I21="","sem secção; ",""))</f>
        <v/>
      </c>
      <c r="W21" s="11">
        <f>IF(D21="","",D21&amp;":"&amp;E21&amp;IF(EXACT(E21,UPPER(E21)),"","|lc"))</f>
        <v/>
      </c>
      <c r="X21" s="11">
        <f>IF(F21="","",F21&amp;":"&amp;G21&amp;IF(EXACT(G21,UPPER(G21)),"","|lc"))</f>
        <v/>
      </c>
      <c r="Y21" s="9" t="n"/>
      <c r="Z21" s="9" t="n"/>
    </row>
    <row r="22">
      <c r="A22" s="9" t="inlineStr">
        <is>
          <t>W-DATABOX-021</t>
        </is>
      </c>
      <c r="B22" s="9" t="inlineStr">
        <is>
          <t>DATABOX</t>
        </is>
      </c>
      <c r="C22" s="9" t="inlineStr">
        <is>
          <t>ST_ANGLE_GROUND</t>
        </is>
      </c>
      <c r="D22" s="9" t="inlineStr">
        <is>
          <t>ACQUISITION J3</t>
        </is>
      </c>
      <c r="E22" s="9" t="inlineStr">
        <is>
          <t>6</t>
        </is>
      </c>
      <c r="F22" s="9" t="inlineStr">
        <is>
          <t>DATABOX J1</t>
        </is>
      </c>
      <c r="G22" s="9" t="inlineStr">
        <is>
          <t>L</t>
        </is>
      </c>
      <c r="H22" s="9" t="inlineStr">
        <is>
          <t>BK</t>
        </is>
      </c>
      <c r="I22" s="10" t="n"/>
      <c r="J22" s="11">
        <f>IF(I22="","",IFERROR(INDEX(Lists!$F$3:$F$17,MATCH(I22,Lists!$E$3:$E$17,0)),"?"))</f>
        <v/>
      </c>
      <c r="K22" s="9" t="inlineStr">
        <is>
          <t>N</t>
        </is>
      </c>
      <c r="L22" s="9" t="inlineStr">
        <is>
          <t>0V</t>
        </is>
      </c>
      <c r="M22" s="10" t="n"/>
      <c r="N22" s="11">
        <f>IF(D22="","",IFERROR(INDEX(Connectors!$J$2:$J$1000,MATCH(D22,Connectors!$A$2:$A$1000,0))&amp;"",""))</f>
        <v/>
      </c>
      <c r="O22" s="11">
        <f>IF(F22="","",IFERROR(INDEX(Connectors!$J$2:$J$1000,MATCH(F22,Connectors!$A$2:$A$1000,0))&amp;"",""))</f>
        <v/>
      </c>
      <c r="P22" s="9" t="n"/>
      <c r="Q22" s="9" t="n"/>
      <c r="R22" s="10" t="n"/>
      <c r="S22" s="9" t="inlineStr">
        <is>
          <t>Steering Angle Ground Supply</t>
        </is>
      </c>
      <c r="T22" s="9" t="inlineStr">
        <is>
          <t>2 pontas</t>
        </is>
      </c>
      <c r="U22" s="9" t="n"/>
      <c r="V22" s="11">
        <f>IF(D22="","",IF(COUNTIF(Connectors!$A$2:$A$1000,D22)=0,"from_ref não existe; ","")&amp;IF(COUNTIF(Connectors!$A$2:$A$1000,F22)=0,"to_ref não existe; ","")&amp;IF(AND(H22&lt;&gt;"",COUNTIF(Lists!$A$3:$A$14,H22)=0),"cor inválida; ","")&amp;IF(H22="","sem cor; ","")&amp;IF((K22="Y")&lt;&gt;(H22="OG"),"HV e laranja não batem; ","")&amp;IF(AND(K22="Y",OR(IFERROR(INDEX(Connectors!$F$2:$F$1000,MATCH(D22,Connectors!$A$2:$A$1000,0)),"")&lt;&gt;"Y",IFERROR(INDEX(Connectors!$F$2:$F$1000,MATCH(F22,Connectors!$A$2:$A$1000,0)),"")&lt;&gt;"Y")),"fio HV em ficha não HV rated; ","")&amp;IF(AND(COUNTIF($W$2:$W$1000,W22)+COUNTIF($X$2:$X$1000,W22)&gt;1,ISERROR(MATCH(IFERROR(INDEX(Connectors!$D$2:$D$1000,MATCH(D22,Connectors!$A$2:$A$1000,0)),""),{"SPLICE","STUD"},0))),"pino from com &gt;1 fio; ","")&amp;IF(AND(COUNTIF($W$2:$W$1000,X22)+COUNTIF($X$2:$X$1000,X22)&gt;1,ISERROR(MATCH(IFERROR(INDEX(Connectors!$D$2:$D$1000,MATCH(F22,Connectors!$A$2:$A$1000,0)),""),{"SPLICE","STUD"},0))),"pino to com &gt;1 fio; ","")&amp;IF(I22="","sem secção; ",""))</f>
        <v/>
      </c>
      <c r="W22" s="11">
        <f>IF(D22="","",D22&amp;":"&amp;E22&amp;IF(EXACT(E22,UPPER(E22)),"","|lc"))</f>
        <v/>
      </c>
      <c r="X22" s="11">
        <f>IF(F22="","",F22&amp;":"&amp;G22&amp;IF(EXACT(G22,UPPER(G22)),"","|lc"))</f>
        <v/>
      </c>
      <c r="Y22" s="9" t="n"/>
      <c r="Z22" s="9" t="n"/>
    </row>
    <row r="23">
      <c r="A23" s="12" t="inlineStr">
        <is>
          <t>W-DATABOX-022</t>
        </is>
      </c>
      <c r="B23" s="9" t="inlineStr">
        <is>
          <t>DATABOX</t>
        </is>
      </c>
      <c r="C23" s="9" t="inlineStr">
        <is>
          <t>R2D_LED_SUPPLY</t>
        </is>
      </c>
      <c r="D23" s="9" t="inlineStr">
        <is>
          <t>ACQUISITION J3</t>
        </is>
      </c>
      <c r="E23" s="9" t="inlineStr">
        <is>
          <t>7</t>
        </is>
      </c>
      <c r="F23" s="9" t="inlineStr">
        <is>
          <t>R2D J1</t>
        </is>
      </c>
      <c r="G23" s="9" t="inlineStr">
        <is>
          <t>3</t>
        </is>
      </c>
      <c r="H23" s="9" t="inlineStr">
        <is>
          <t>RD</t>
        </is>
      </c>
      <c r="I23" s="10" t="n"/>
      <c r="J23" s="11">
        <f>IF(I23="","",IFERROR(INDEX(Lists!$F$3:$F$17,MATCH(I23,Lists!$E$3:$E$17,0)),"?"))</f>
        <v/>
      </c>
      <c r="K23" s="9" t="inlineStr">
        <is>
          <t>N</t>
        </is>
      </c>
      <c r="L23" s="9" t="inlineStr">
        <is>
          <t>24V</t>
        </is>
      </c>
      <c r="M23" s="10" t="n"/>
      <c r="N23" s="11">
        <f>IF(D23="","",IFERROR(INDEX(Connectors!$J$2:$J$1000,MATCH(D23,Connectors!$A$2:$A$1000,0))&amp;"",""))</f>
        <v/>
      </c>
      <c r="O23" s="11">
        <f>IF(F23="","",IFERROR(INDEX(Connectors!$J$2:$J$1000,MATCH(F23,Connectors!$A$2:$A$1000,0))&amp;"",""))</f>
        <v/>
      </c>
      <c r="P23" s="9" t="n"/>
      <c r="Q23" s="9" t="n"/>
      <c r="R23" s="10" t="n"/>
      <c r="S23" s="9" t="inlineStr">
        <is>
          <t>R2D LED Power</t>
        </is>
      </c>
      <c r="T23" s="9" t="inlineStr">
        <is>
          <t>2 pontas</t>
        </is>
      </c>
      <c r="U23" s="12" t="inlineStr">
        <is>
          <t>I-05</t>
        </is>
      </c>
      <c r="V23" s="11">
        <f>IF(D23="","",IF(COUNTIF(Connectors!$A$2:$A$1000,D23)=0,"from_ref não existe; ","")&amp;IF(COUNTIF(Connectors!$A$2:$A$1000,F23)=0,"to_ref não existe; ","")&amp;IF(AND(H23&lt;&gt;"",COUNTIF(Lists!$A$3:$A$14,H23)=0),"cor inválida; ","")&amp;IF(H23="","sem cor; ","")&amp;IF((K23="Y")&lt;&gt;(H23="OG"),"HV e laranja não batem; ","")&amp;IF(AND(K23="Y",OR(IFERROR(INDEX(Connectors!$F$2:$F$1000,MATCH(D23,Connectors!$A$2:$A$1000,0)),"")&lt;&gt;"Y",IFERROR(INDEX(Connectors!$F$2:$F$1000,MATCH(F23,Connectors!$A$2:$A$1000,0)),"")&lt;&gt;"Y")),"fio HV em ficha não HV rated; ","")&amp;IF(AND(COUNTIF($W$2:$W$1000,W23)+COUNTIF($X$2:$X$1000,W23)&gt;1,ISERROR(MATCH(IFERROR(INDEX(Connectors!$D$2:$D$1000,MATCH(D23,Connectors!$A$2:$A$1000,0)),""),{"SPLICE","STUD"},0))),"pino from com &gt;1 fio; ","")&amp;IF(AND(COUNTIF($W$2:$W$1000,X23)+COUNTIF($X$2:$X$1000,X23)&gt;1,ISERROR(MATCH(IFERROR(INDEX(Connectors!$D$2:$D$1000,MATCH(F23,Connectors!$A$2:$A$1000,0)),""),{"SPLICE","STUD"},0))),"pino to com &gt;1 fio; ","")&amp;IF(I23="","sem secção; ",""))</f>
        <v/>
      </c>
      <c r="W23" s="11">
        <f>IF(D23="","",D23&amp;":"&amp;E23&amp;IF(EXACT(E23,UPPER(E23)),"","|lc"))</f>
        <v/>
      </c>
      <c r="X23" s="11">
        <f>IF(F23="","",F23&amp;":"&amp;G23&amp;IF(EXACT(G23,UPPER(G23)),"","|lc"))</f>
        <v/>
      </c>
      <c r="Y23" s="9" t="n"/>
      <c r="Z23" s="9" t="n"/>
    </row>
    <row r="24">
      <c r="A24" s="9" t="inlineStr">
        <is>
          <t>W-DATABOX-023</t>
        </is>
      </c>
      <c r="B24" s="9" t="inlineStr">
        <is>
          <t>DATABOX</t>
        </is>
      </c>
      <c r="C24" s="9" t="inlineStr">
        <is>
          <t>SUSP_LEFT_GROUND</t>
        </is>
      </c>
      <c r="D24" s="9" t="inlineStr">
        <is>
          <t>ACQUISITION J3</t>
        </is>
      </c>
      <c r="E24" s="9" t="inlineStr">
        <is>
          <t>8</t>
        </is>
      </c>
      <c r="F24" s="9" t="inlineStr">
        <is>
          <t>DATABOX J1</t>
        </is>
      </c>
      <c r="G24" s="9" t="inlineStr">
        <is>
          <t>P</t>
        </is>
      </c>
      <c r="H24" s="9" t="inlineStr">
        <is>
          <t>BK</t>
        </is>
      </c>
      <c r="I24" s="10" t="n"/>
      <c r="J24" s="11">
        <f>IF(I24="","",IFERROR(INDEX(Lists!$F$3:$F$17,MATCH(I24,Lists!$E$3:$E$17,0)),"?"))</f>
        <v/>
      </c>
      <c r="K24" s="9" t="inlineStr">
        <is>
          <t>N</t>
        </is>
      </c>
      <c r="L24" s="9" t="inlineStr">
        <is>
          <t>0V</t>
        </is>
      </c>
      <c r="M24" s="10" t="n"/>
      <c r="N24" s="11">
        <f>IF(D24="","",IFERROR(INDEX(Connectors!$J$2:$J$1000,MATCH(D24,Connectors!$A$2:$A$1000,0))&amp;"",""))</f>
        <v/>
      </c>
      <c r="O24" s="11">
        <f>IF(F24="","",IFERROR(INDEX(Connectors!$J$2:$J$1000,MATCH(F24,Connectors!$A$2:$A$1000,0))&amp;"",""))</f>
        <v/>
      </c>
      <c r="P24" s="9" t="n"/>
      <c r="Q24" s="9" t="n"/>
      <c r="R24" s="10" t="n"/>
      <c r="S24" s="9" t="inlineStr">
        <is>
          <t>Left Suspension Ground Supply</t>
        </is>
      </c>
      <c r="T24" s="9" t="inlineStr">
        <is>
          <t>2 pontas</t>
        </is>
      </c>
      <c r="U24" s="9" t="n"/>
      <c r="V24" s="11">
        <f>IF(D24="","",IF(COUNTIF(Connectors!$A$2:$A$1000,D24)=0,"from_ref não existe; ","")&amp;IF(COUNTIF(Connectors!$A$2:$A$1000,F24)=0,"to_ref não existe; ","")&amp;IF(AND(H24&lt;&gt;"",COUNTIF(Lists!$A$3:$A$14,H24)=0),"cor inválida; ","")&amp;IF(H24="","sem cor; ","")&amp;IF((K24="Y")&lt;&gt;(H24="OG"),"HV e laranja não batem; ","")&amp;IF(AND(K24="Y",OR(IFERROR(INDEX(Connectors!$F$2:$F$1000,MATCH(D24,Connectors!$A$2:$A$1000,0)),"")&lt;&gt;"Y",IFERROR(INDEX(Connectors!$F$2:$F$1000,MATCH(F24,Connectors!$A$2:$A$1000,0)),"")&lt;&gt;"Y")),"fio HV em ficha não HV rated; ","")&amp;IF(AND(COUNTIF($W$2:$W$1000,W24)+COUNTIF($X$2:$X$1000,W24)&gt;1,ISERROR(MATCH(IFERROR(INDEX(Connectors!$D$2:$D$1000,MATCH(D24,Connectors!$A$2:$A$1000,0)),""),{"SPLICE","STUD"},0))),"pino from com &gt;1 fio; ","")&amp;IF(AND(COUNTIF($W$2:$W$1000,X24)+COUNTIF($X$2:$X$1000,X24)&gt;1,ISERROR(MATCH(IFERROR(INDEX(Connectors!$D$2:$D$1000,MATCH(F24,Connectors!$A$2:$A$1000,0)),""),{"SPLICE","STUD"},0))),"pino to com &gt;1 fio; ","")&amp;IF(I24="","sem secção; ",""))</f>
        <v/>
      </c>
      <c r="W24" s="11">
        <f>IF(D24="","",D24&amp;":"&amp;E24&amp;IF(EXACT(E24,UPPER(E24)),"","|lc"))</f>
        <v/>
      </c>
      <c r="X24" s="11">
        <f>IF(F24="","",F24&amp;":"&amp;G24&amp;IF(EXACT(G24,UPPER(G24)),"","|lc"))</f>
        <v/>
      </c>
      <c r="Y24" s="9" t="n"/>
      <c r="Z24" s="9" t="n"/>
    </row>
    <row r="25">
      <c r="A25" s="9" t="inlineStr">
        <is>
          <t>W-DATABOX-024</t>
        </is>
      </c>
      <c r="B25" s="9" t="inlineStr">
        <is>
          <t>DATABOX</t>
        </is>
      </c>
      <c r="C25" s="9" t="inlineStr">
        <is>
          <t>TS_ON_LED_SIGNAL</t>
        </is>
      </c>
      <c r="D25" s="9" t="inlineStr">
        <is>
          <t>ACQUISITION J3</t>
        </is>
      </c>
      <c r="E25" s="9" t="inlineStr">
        <is>
          <t>9</t>
        </is>
      </c>
      <c r="F25" s="9" t="inlineStr">
        <is>
          <t>TS ON LED J1</t>
        </is>
      </c>
      <c r="G25" s="9" t="inlineStr">
        <is>
          <t>1</t>
        </is>
      </c>
      <c r="H25" s="9" t="inlineStr">
        <is>
          <t>WH</t>
        </is>
      </c>
      <c r="I25" s="10" t="n"/>
      <c r="J25" s="11">
        <f>IF(I25="","",IFERROR(INDEX(Lists!$F$3:$F$17,MATCH(I25,Lists!$E$3:$E$17,0)),"?"))</f>
        <v/>
      </c>
      <c r="K25" s="9" t="inlineStr">
        <is>
          <t>N</t>
        </is>
      </c>
      <c r="L25" s="9" t="inlineStr">
        <is>
          <t>3.3V</t>
        </is>
      </c>
      <c r="M25" s="10" t="n"/>
      <c r="N25" s="11">
        <f>IF(D25="","",IFERROR(INDEX(Connectors!$J$2:$J$1000,MATCH(D25,Connectors!$A$2:$A$1000,0))&amp;"",""))</f>
        <v/>
      </c>
      <c r="O25" s="11">
        <f>IF(F25="","",IFERROR(INDEX(Connectors!$J$2:$J$1000,MATCH(F25,Connectors!$A$2:$A$1000,0))&amp;"",""))</f>
        <v/>
      </c>
      <c r="P25" s="9" t="n"/>
      <c r="Q25" s="9" t="n"/>
      <c r="R25" s="10" t="n"/>
      <c r="S25" s="9" t="inlineStr">
        <is>
          <t>TS ON Led Signal</t>
        </is>
      </c>
      <c r="T25" s="9" t="inlineStr">
        <is>
          <t>2 pontas</t>
        </is>
      </c>
      <c r="U25" s="9" t="n"/>
      <c r="V25" s="11">
        <f>IF(D25="","",IF(COUNTIF(Connectors!$A$2:$A$1000,D25)=0,"from_ref não existe; ","")&amp;IF(COUNTIF(Connectors!$A$2:$A$1000,F25)=0,"to_ref não existe; ","")&amp;IF(AND(H25&lt;&gt;"",COUNTIF(Lists!$A$3:$A$14,H25)=0),"cor inválida; ","")&amp;IF(H25="","sem cor; ","")&amp;IF((K25="Y")&lt;&gt;(H25="OG"),"HV e laranja não batem; ","")&amp;IF(AND(K25="Y",OR(IFERROR(INDEX(Connectors!$F$2:$F$1000,MATCH(D25,Connectors!$A$2:$A$1000,0)),"")&lt;&gt;"Y",IFERROR(INDEX(Connectors!$F$2:$F$1000,MATCH(F25,Connectors!$A$2:$A$1000,0)),"")&lt;&gt;"Y")),"fio HV em ficha não HV rated; ","")&amp;IF(AND(COUNTIF($W$2:$W$1000,W25)+COUNTIF($X$2:$X$1000,W25)&gt;1,ISERROR(MATCH(IFERROR(INDEX(Connectors!$D$2:$D$1000,MATCH(D25,Connectors!$A$2:$A$1000,0)),""),{"SPLICE","STUD"},0))),"pino from com &gt;1 fio; ","")&amp;IF(AND(COUNTIF($W$2:$W$1000,X25)+COUNTIF($X$2:$X$1000,X25)&gt;1,ISERROR(MATCH(IFERROR(INDEX(Connectors!$D$2:$D$1000,MATCH(F25,Connectors!$A$2:$A$1000,0)),""),{"SPLICE","STUD"},0))),"pino to com &gt;1 fio; ","")&amp;IF(I25="","sem secção; ",""))</f>
        <v/>
      </c>
      <c r="W25" s="11">
        <f>IF(D25="","",D25&amp;":"&amp;E25&amp;IF(EXACT(E25,UPPER(E25)),"","|lc"))</f>
        <v/>
      </c>
      <c r="X25" s="11">
        <f>IF(F25="","",F25&amp;":"&amp;G25&amp;IF(EXACT(G25,UPPER(G25)),"","|lc"))</f>
        <v/>
      </c>
      <c r="Y25" s="9" t="n"/>
      <c r="Z25" s="9" t="n"/>
    </row>
    <row r="26">
      <c r="A26" s="9" t="inlineStr">
        <is>
          <t>W-DATABOX-025</t>
        </is>
      </c>
      <c r="B26" s="9" t="inlineStr">
        <is>
          <t>DATABOX</t>
        </is>
      </c>
      <c r="C26" s="9" t="inlineStr">
        <is>
          <t>SUSP_RIGHT_GROUND</t>
        </is>
      </c>
      <c r="D26" s="9" t="inlineStr">
        <is>
          <t>ACQUISITION J3</t>
        </is>
      </c>
      <c r="E26" s="9" t="inlineStr">
        <is>
          <t>10</t>
        </is>
      </c>
      <c r="F26" s="9" t="inlineStr">
        <is>
          <t>DATABOX J1</t>
        </is>
      </c>
      <c r="G26" s="9" t="inlineStr">
        <is>
          <t>T</t>
        </is>
      </c>
      <c r="H26" s="9" t="inlineStr">
        <is>
          <t>BK</t>
        </is>
      </c>
      <c r="I26" s="10" t="n"/>
      <c r="J26" s="11">
        <f>IF(I26="","",IFERROR(INDEX(Lists!$F$3:$F$17,MATCH(I26,Lists!$E$3:$E$17,0)),"?"))</f>
        <v/>
      </c>
      <c r="K26" s="9" t="inlineStr">
        <is>
          <t>N</t>
        </is>
      </c>
      <c r="L26" s="9" t="inlineStr">
        <is>
          <t>0V</t>
        </is>
      </c>
      <c r="M26" s="10" t="n"/>
      <c r="N26" s="11">
        <f>IF(D26="","",IFERROR(INDEX(Connectors!$J$2:$J$1000,MATCH(D26,Connectors!$A$2:$A$1000,0))&amp;"",""))</f>
        <v/>
      </c>
      <c r="O26" s="11">
        <f>IF(F26="","",IFERROR(INDEX(Connectors!$J$2:$J$1000,MATCH(F26,Connectors!$A$2:$A$1000,0))&amp;"",""))</f>
        <v/>
      </c>
      <c r="P26" s="9" t="n"/>
      <c r="Q26" s="9" t="n"/>
      <c r="R26" s="10" t="n"/>
      <c r="S26" s="9" t="inlineStr">
        <is>
          <t>Right Suspension Ground Supply</t>
        </is>
      </c>
      <c r="T26" s="9" t="inlineStr">
        <is>
          <t>2 pontas</t>
        </is>
      </c>
      <c r="U26" s="9" t="n"/>
      <c r="V26" s="11">
        <f>IF(D26="","",IF(COUNTIF(Connectors!$A$2:$A$1000,D26)=0,"from_ref não existe; ","")&amp;IF(COUNTIF(Connectors!$A$2:$A$1000,F26)=0,"to_ref não existe; ","")&amp;IF(AND(H26&lt;&gt;"",COUNTIF(Lists!$A$3:$A$14,H26)=0),"cor inválida; ","")&amp;IF(H26="","sem cor; ","")&amp;IF((K26="Y")&lt;&gt;(H26="OG"),"HV e laranja não batem; ","")&amp;IF(AND(K26="Y",OR(IFERROR(INDEX(Connectors!$F$2:$F$1000,MATCH(D26,Connectors!$A$2:$A$1000,0)),"")&lt;&gt;"Y",IFERROR(INDEX(Connectors!$F$2:$F$1000,MATCH(F26,Connectors!$A$2:$A$1000,0)),"")&lt;&gt;"Y")),"fio HV em ficha não HV rated; ","")&amp;IF(AND(COUNTIF($W$2:$W$1000,W26)+COUNTIF($X$2:$X$1000,W26)&gt;1,ISERROR(MATCH(IFERROR(INDEX(Connectors!$D$2:$D$1000,MATCH(D26,Connectors!$A$2:$A$1000,0)),""),{"SPLICE","STUD"},0))),"pino from com &gt;1 fio; ","")&amp;IF(AND(COUNTIF($W$2:$W$1000,X26)+COUNTIF($X$2:$X$1000,X26)&gt;1,ISERROR(MATCH(IFERROR(INDEX(Connectors!$D$2:$D$1000,MATCH(F26,Connectors!$A$2:$A$1000,0)),""),{"SPLICE","STUD"},0))),"pino to com &gt;1 fio; ","")&amp;IF(I26="","sem secção; ",""))</f>
        <v/>
      </c>
      <c r="W26" s="11">
        <f>IF(D26="","",D26&amp;":"&amp;E26&amp;IF(EXACT(E26,UPPER(E26)),"","|lc"))</f>
        <v/>
      </c>
      <c r="X26" s="11">
        <f>IF(F26="","",F26&amp;":"&amp;G26&amp;IF(EXACT(G26,UPPER(G26)),"","|lc"))</f>
        <v/>
      </c>
      <c r="Y26" s="9" t="n"/>
      <c r="Z26" s="9" t="n"/>
    </row>
    <row r="27">
      <c r="A27" s="12" t="inlineStr">
        <is>
          <t>W-DATABOX-026</t>
        </is>
      </c>
      <c r="B27" s="9" t="inlineStr">
        <is>
          <t>DATABOX</t>
        </is>
      </c>
      <c r="C27" s="9" t="inlineStr">
        <is>
          <t>LEDS_GND</t>
        </is>
      </c>
      <c r="D27" s="9" t="inlineStr">
        <is>
          <t>ACQUISITION J3</t>
        </is>
      </c>
      <c r="E27" s="9" t="inlineStr">
        <is>
          <t>12</t>
        </is>
      </c>
      <c r="F27" s="9" t="inlineStr">
        <is>
          <t>TS ON LED J1</t>
        </is>
      </c>
      <c r="G27" s="9" t="inlineStr">
        <is>
          <t>Aos LEDS</t>
        </is>
      </c>
      <c r="H27" s="9" t="inlineStr">
        <is>
          <t>BK</t>
        </is>
      </c>
      <c r="I27" s="10" t="n"/>
      <c r="J27" s="11">
        <f>IF(I27="","",IFERROR(INDEX(Lists!$F$3:$F$17,MATCH(I27,Lists!$E$3:$E$17,0)),"?"))</f>
        <v/>
      </c>
      <c r="K27" s="9" t="inlineStr">
        <is>
          <t>N</t>
        </is>
      </c>
      <c r="L27" s="9" t="inlineStr">
        <is>
          <t>0V</t>
        </is>
      </c>
      <c r="M27" s="10" t="n"/>
      <c r="N27" s="11">
        <f>IF(D27="","",IFERROR(INDEX(Connectors!$J$2:$J$1000,MATCH(D27,Connectors!$A$2:$A$1000,0))&amp;"",""))</f>
        <v/>
      </c>
      <c r="O27" s="11">
        <f>IF(F27="","",IFERROR(INDEX(Connectors!$J$2:$J$1000,MATCH(F27,Connectors!$A$2:$A$1000,0))&amp;"",""))</f>
        <v/>
      </c>
      <c r="P27" s="9" t="n"/>
      <c r="Q27" s="9" t="n"/>
      <c r="R27" s="10" t="n"/>
      <c r="S27" s="9" t="inlineStr">
        <is>
          <t>GND of all LEDS (axanatar esta merda para ir todo ao gnd)</t>
        </is>
      </c>
      <c r="T27" s="9" t="inlineStr">
        <is>
          <t>1 ponta (folha Acquisition Board 4)</t>
        </is>
      </c>
      <c r="U27" s="12" t="inlineStr">
        <is>
          <t>I-06</t>
        </is>
      </c>
      <c r="V27" s="11">
        <f>IF(D27="","",IF(COUNTIF(Connectors!$A$2:$A$1000,D27)=0,"from_ref não existe; ","")&amp;IF(COUNTIF(Connectors!$A$2:$A$1000,F27)=0,"to_ref não existe; ","")&amp;IF(AND(H27&lt;&gt;"",COUNTIF(Lists!$A$3:$A$14,H27)=0),"cor inválida; ","")&amp;IF(H27="","sem cor; ","")&amp;IF((K27="Y")&lt;&gt;(H27="OG"),"HV e laranja não batem; ","")&amp;IF(AND(K27="Y",OR(IFERROR(INDEX(Connectors!$F$2:$F$1000,MATCH(D27,Connectors!$A$2:$A$1000,0)),"")&lt;&gt;"Y",IFERROR(INDEX(Connectors!$F$2:$F$1000,MATCH(F27,Connectors!$A$2:$A$1000,0)),"")&lt;&gt;"Y")),"fio HV em ficha não HV rated; ","")&amp;IF(AND(COUNTIF($W$2:$W$1000,W27)+COUNTIF($X$2:$X$1000,W27)&gt;1,ISERROR(MATCH(IFERROR(INDEX(Connectors!$D$2:$D$1000,MATCH(D27,Connectors!$A$2:$A$1000,0)),""),{"SPLICE","STUD"},0))),"pino from com &gt;1 fio; ","")&amp;IF(AND(COUNTIF($W$2:$W$1000,X27)+COUNTIF($X$2:$X$1000,X27)&gt;1,ISERROR(MATCH(IFERROR(INDEX(Connectors!$D$2:$D$1000,MATCH(F27,Connectors!$A$2:$A$1000,0)),""),{"SPLICE","STUD"},0))),"pino to com &gt;1 fio; ","")&amp;IF(I27="","sem secção; ",""))</f>
        <v/>
      </c>
      <c r="W27" s="11">
        <f>IF(D27="","",D27&amp;":"&amp;E27&amp;IF(EXACT(E27,UPPER(E27)),"","|lc"))</f>
        <v/>
      </c>
      <c r="X27" s="11">
        <f>IF(F27="","",F27&amp;":"&amp;G27&amp;IF(EXACT(G27,UPPER(G27)),"","|lc"))</f>
        <v/>
      </c>
      <c r="Y27" s="9" t="n"/>
      <c r="Z27" s="9" t="n"/>
    </row>
    <row r="28">
      <c r="A28" s="9" t="inlineStr">
        <is>
          <t>W-DATABOX-027</t>
        </is>
      </c>
      <c r="B28" s="9" t="inlineStr">
        <is>
          <t>DATABOX</t>
        </is>
      </c>
      <c r="C28" s="9" t="inlineStr">
        <is>
          <t>RASPBERRY_SUPPLY</t>
        </is>
      </c>
      <c r="D28" s="9" t="inlineStr">
        <is>
          <t>DATABOX J1</t>
        </is>
      </c>
      <c r="E28" s="9" t="inlineStr">
        <is>
          <t>U</t>
        </is>
      </c>
      <c r="F28" s="9" t="inlineStr">
        <is>
          <t>RASPBERRY J1</t>
        </is>
      </c>
      <c r="G28" s="9" t="inlineStr">
        <is>
          <t>1</t>
        </is>
      </c>
      <c r="H28" s="9" t="inlineStr">
        <is>
          <t>RD</t>
        </is>
      </c>
      <c r="I28" s="10" t="n"/>
      <c r="J28" s="11">
        <f>IF(I28="","",IFERROR(INDEX(Lists!$F$3:$F$17,MATCH(I28,Lists!$E$3:$E$17,0)),"?"))</f>
        <v/>
      </c>
      <c r="K28" s="9" t="inlineStr">
        <is>
          <t>N</t>
        </is>
      </c>
      <c r="L28" s="9" t="inlineStr">
        <is>
          <t>24V</t>
        </is>
      </c>
      <c r="M28" s="10" t="n"/>
      <c r="N28" s="11">
        <f>IF(D28="","",IFERROR(INDEX(Connectors!$J$2:$J$1000,MATCH(D28,Connectors!$A$2:$A$1000,0))&amp;"",""))</f>
        <v/>
      </c>
      <c r="O28" s="11">
        <f>IF(F28="","",IFERROR(INDEX(Connectors!$J$2:$J$1000,MATCH(F28,Connectors!$A$2:$A$1000,0))&amp;"",""))</f>
        <v/>
      </c>
      <c r="P28" s="9" t="n"/>
      <c r="Q28" s="9" t="n"/>
      <c r="R28" s="10" t="n"/>
      <c r="S28" s="9" t="inlineStr">
        <is>
          <t>RaspBerry Power Supply</t>
        </is>
      </c>
      <c r="T28" s="9" t="inlineStr">
        <is>
          <t>2 pontas</t>
        </is>
      </c>
      <c r="U28" s="9" t="n"/>
      <c r="V28" s="11">
        <f>IF(D28="","",IF(COUNTIF(Connectors!$A$2:$A$1000,D28)=0,"from_ref não existe; ","")&amp;IF(COUNTIF(Connectors!$A$2:$A$1000,F28)=0,"to_ref não existe; ","")&amp;IF(AND(H28&lt;&gt;"",COUNTIF(Lists!$A$3:$A$14,H28)=0),"cor inválida; ","")&amp;IF(H28="","sem cor; ","")&amp;IF((K28="Y")&lt;&gt;(H28="OG"),"HV e laranja não batem; ","")&amp;IF(AND(K28="Y",OR(IFERROR(INDEX(Connectors!$F$2:$F$1000,MATCH(D28,Connectors!$A$2:$A$1000,0)),"")&lt;&gt;"Y",IFERROR(INDEX(Connectors!$F$2:$F$1000,MATCH(F28,Connectors!$A$2:$A$1000,0)),"")&lt;&gt;"Y")),"fio HV em ficha não HV rated; ","")&amp;IF(AND(COUNTIF($W$2:$W$1000,W28)+COUNTIF($X$2:$X$1000,W28)&gt;1,ISERROR(MATCH(IFERROR(INDEX(Connectors!$D$2:$D$1000,MATCH(D28,Connectors!$A$2:$A$1000,0)),""),{"SPLICE","STUD"},0))),"pino from com &gt;1 fio; ","")&amp;IF(AND(COUNTIF($W$2:$W$1000,X28)+COUNTIF($X$2:$X$1000,X28)&gt;1,ISERROR(MATCH(IFERROR(INDEX(Connectors!$D$2:$D$1000,MATCH(F28,Connectors!$A$2:$A$1000,0)),""),{"SPLICE","STUD"},0))),"pino to com &gt;1 fio; ","")&amp;IF(I28="","sem secção; ",""))</f>
        <v/>
      </c>
      <c r="W28" s="11">
        <f>IF(D28="","",D28&amp;":"&amp;E28&amp;IF(EXACT(E28,UPPER(E28)),"","|lc"))</f>
        <v/>
      </c>
      <c r="X28" s="11">
        <f>IF(F28="","",F28&amp;":"&amp;G28&amp;IF(EXACT(G28,UPPER(G28)),"","|lc"))</f>
        <v/>
      </c>
      <c r="Y28" s="9" t="n"/>
      <c r="Z28" s="9" t="n"/>
    </row>
    <row r="29">
      <c r="A29" s="9" t="inlineStr">
        <is>
          <t>W-DATABOX-028</t>
        </is>
      </c>
      <c r="B29" s="9" t="inlineStr">
        <is>
          <t>DATABOX</t>
        </is>
      </c>
      <c r="C29" s="9" t="inlineStr">
        <is>
          <t>RASPBERRY_GND</t>
        </is>
      </c>
      <c r="D29" s="9" t="inlineStr">
        <is>
          <t>DATABOX J1</t>
        </is>
      </c>
      <c r="E29" s="9" t="inlineStr">
        <is>
          <t>V</t>
        </is>
      </c>
      <c r="F29" s="9" t="inlineStr">
        <is>
          <t>RASPBERRY J1</t>
        </is>
      </c>
      <c r="G29" s="9" t="inlineStr">
        <is>
          <t>2</t>
        </is>
      </c>
      <c r="H29" s="9" t="inlineStr">
        <is>
          <t>BK</t>
        </is>
      </c>
      <c r="I29" s="10" t="n"/>
      <c r="J29" s="11">
        <f>IF(I29="","",IFERROR(INDEX(Lists!$F$3:$F$17,MATCH(I29,Lists!$E$3:$E$17,0)),"?"))</f>
        <v/>
      </c>
      <c r="K29" s="9" t="inlineStr">
        <is>
          <t>N</t>
        </is>
      </c>
      <c r="L29" s="9" t="inlineStr">
        <is>
          <t>0V</t>
        </is>
      </c>
      <c r="M29" s="10" t="n"/>
      <c r="N29" s="11">
        <f>IF(D29="","",IFERROR(INDEX(Connectors!$J$2:$J$1000,MATCH(D29,Connectors!$A$2:$A$1000,0))&amp;"",""))</f>
        <v/>
      </c>
      <c r="O29" s="11">
        <f>IF(F29="","",IFERROR(INDEX(Connectors!$J$2:$J$1000,MATCH(F29,Connectors!$A$2:$A$1000,0))&amp;"",""))</f>
        <v/>
      </c>
      <c r="P29" s="9" t="n"/>
      <c r="Q29" s="9" t="n"/>
      <c r="R29" s="10" t="n"/>
      <c r="S29" s="9" t="inlineStr">
        <is>
          <t>RaspBerry GND Supply</t>
        </is>
      </c>
      <c r="T29" s="9" t="inlineStr">
        <is>
          <t>2 pontas</t>
        </is>
      </c>
      <c r="U29" s="9" t="n"/>
      <c r="V29" s="11">
        <f>IF(D29="","",IF(COUNTIF(Connectors!$A$2:$A$1000,D29)=0,"from_ref não existe; ","")&amp;IF(COUNTIF(Connectors!$A$2:$A$1000,F29)=0,"to_ref não existe; ","")&amp;IF(AND(H29&lt;&gt;"",COUNTIF(Lists!$A$3:$A$14,H29)=0),"cor inválida; ","")&amp;IF(H29="","sem cor; ","")&amp;IF((K29="Y")&lt;&gt;(H29="OG"),"HV e laranja não batem; ","")&amp;IF(AND(K29="Y",OR(IFERROR(INDEX(Connectors!$F$2:$F$1000,MATCH(D29,Connectors!$A$2:$A$1000,0)),"")&lt;&gt;"Y",IFERROR(INDEX(Connectors!$F$2:$F$1000,MATCH(F29,Connectors!$A$2:$A$1000,0)),"")&lt;&gt;"Y")),"fio HV em ficha não HV rated; ","")&amp;IF(AND(COUNTIF($W$2:$W$1000,W29)+COUNTIF($X$2:$X$1000,W29)&gt;1,ISERROR(MATCH(IFERROR(INDEX(Connectors!$D$2:$D$1000,MATCH(D29,Connectors!$A$2:$A$1000,0)),""),{"SPLICE","STUD"},0))),"pino from com &gt;1 fio; ","")&amp;IF(AND(COUNTIF($W$2:$W$1000,X29)+COUNTIF($X$2:$X$1000,X29)&gt;1,ISERROR(MATCH(IFERROR(INDEX(Connectors!$D$2:$D$1000,MATCH(F29,Connectors!$A$2:$A$1000,0)),""),{"SPLICE","STUD"},0))),"pino to com &gt;1 fio; ","")&amp;IF(I29="","sem secção; ",""))</f>
        <v/>
      </c>
      <c r="W29" s="11">
        <f>IF(D29="","",D29&amp;":"&amp;E29&amp;IF(EXACT(E29,UPPER(E29)),"","|lc"))</f>
        <v/>
      </c>
      <c r="X29" s="11">
        <f>IF(F29="","",F29&amp;":"&amp;G29&amp;IF(EXACT(G29,UPPER(G29)),"","|lc"))</f>
        <v/>
      </c>
      <c r="Y29" s="9" t="n"/>
      <c r="Z29" s="9" t="n"/>
    </row>
    <row r="30">
      <c r="A30" s="12" t="inlineStr">
        <is>
          <t>W-DATABOX-029</t>
        </is>
      </c>
      <c r="B30" s="9" t="inlineStr">
        <is>
          <t>DATABOX</t>
        </is>
      </c>
      <c r="C30" s="9" t="inlineStr">
        <is>
          <t>PWT_CAN_L</t>
        </is>
      </c>
      <c r="D30" s="9" t="inlineStr">
        <is>
          <t>RASPBERRY J2</t>
        </is>
      </c>
      <c r="E30" s="9" t="inlineStr">
        <is>
          <t>2</t>
        </is>
      </c>
      <c r="F30" s="9" t="inlineStr">
        <is>
          <t>ACQUISITION J1</t>
        </is>
      </c>
      <c r="G30" s="9" t="inlineStr">
        <is>
          <t>8</t>
        </is>
      </c>
      <c r="H30" s="9" t="inlineStr">
        <is>
          <t>RD</t>
        </is>
      </c>
      <c r="I30" s="10" t="n"/>
      <c r="J30" s="11">
        <f>IF(I30="","",IFERROR(INDEX(Lists!$F$3:$F$17,MATCH(I30,Lists!$E$3:$E$17,0)),"?"))</f>
        <v/>
      </c>
      <c r="K30" s="9" t="inlineStr">
        <is>
          <t>N</t>
        </is>
      </c>
      <c r="L30" s="9" t="inlineStr">
        <is>
          <t>5V</t>
        </is>
      </c>
      <c r="M30" s="10" t="n"/>
      <c r="N30" s="11">
        <f>IF(D30="","",IFERROR(INDEX(Connectors!$J$2:$J$1000,MATCH(D30,Connectors!$A$2:$A$1000,0))&amp;"",""))</f>
        <v/>
      </c>
      <c r="O30" s="11">
        <f>IF(F30="","",IFERROR(INDEX(Connectors!$J$2:$J$1000,MATCH(F30,Connectors!$A$2:$A$1000,0))&amp;"",""))</f>
        <v/>
      </c>
      <c r="P30" s="13" t="inlineStr">
        <is>
          <t>TP1</t>
        </is>
      </c>
      <c r="Q30" s="9" t="n"/>
      <c r="R30" s="10" t="n"/>
      <c r="S30" s="9" t="inlineStr">
        <is>
          <t>PowerTrain CAN Bus Low</t>
        </is>
      </c>
      <c r="T30" s="9" t="inlineStr">
        <is>
          <t>1 ponta (folha Raspberry Pi)</t>
        </is>
      </c>
      <c r="U30" s="12" t="inlineStr">
        <is>
          <t>I-01</t>
        </is>
      </c>
      <c r="V30" s="11">
        <f>IF(D30="","",IF(COUNTIF(Connectors!$A$2:$A$1000,D30)=0,"from_ref não existe; ","")&amp;IF(COUNTIF(Connectors!$A$2:$A$1000,F30)=0,"to_ref não existe; ","")&amp;IF(AND(H30&lt;&gt;"",COUNTIF(Lists!$A$3:$A$14,H30)=0),"cor inválida; ","")&amp;IF(H30="","sem cor; ","")&amp;IF((K30="Y")&lt;&gt;(H30="OG"),"HV e laranja não batem; ","")&amp;IF(AND(K30="Y",OR(IFERROR(INDEX(Connectors!$F$2:$F$1000,MATCH(D30,Connectors!$A$2:$A$1000,0)),"")&lt;&gt;"Y",IFERROR(INDEX(Connectors!$F$2:$F$1000,MATCH(F30,Connectors!$A$2:$A$1000,0)),"")&lt;&gt;"Y")),"fio HV em ficha não HV rated; ","")&amp;IF(AND(COUNTIF($W$2:$W$1000,W30)+COUNTIF($X$2:$X$1000,W30)&gt;1,ISERROR(MATCH(IFERROR(INDEX(Connectors!$D$2:$D$1000,MATCH(D30,Connectors!$A$2:$A$1000,0)),""),{"SPLICE","STUD"},0))),"pino from com &gt;1 fio; ","")&amp;IF(AND(COUNTIF($W$2:$W$1000,X30)+COUNTIF($X$2:$X$1000,X30)&gt;1,ISERROR(MATCH(IFERROR(INDEX(Connectors!$D$2:$D$1000,MATCH(F30,Connectors!$A$2:$A$1000,0)),""),{"SPLICE","STUD"},0))),"pino to com &gt;1 fio; ","")&amp;IF(I30="","sem secção; ",""))</f>
        <v/>
      </c>
      <c r="W30" s="11">
        <f>IF(D30="","",D30&amp;":"&amp;E30&amp;IF(EXACT(E30,UPPER(E30)),"","|lc"))</f>
        <v/>
      </c>
      <c r="X30" s="11">
        <f>IF(F30="","",F30&amp;":"&amp;G30&amp;IF(EXACT(G30,UPPER(G30)),"","|lc"))</f>
        <v/>
      </c>
      <c r="Y30" s="9" t="n"/>
      <c r="Z30" s="9" t="n"/>
    </row>
    <row r="31">
      <c r="A31" s="12" t="inlineStr">
        <is>
          <t>W-DATABOX-030</t>
        </is>
      </c>
      <c r="B31" s="9" t="inlineStr">
        <is>
          <t>DATABOX</t>
        </is>
      </c>
      <c r="C31" s="9" t="inlineStr">
        <is>
          <t>PWT_CAN_H</t>
        </is>
      </c>
      <c r="D31" s="9" t="inlineStr">
        <is>
          <t>RASPBERRY J2</t>
        </is>
      </c>
      <c r="E31" s="9" t="inlineStr">
        <is>
          <t>3</t>
        </is>
      </c>
      <c r="F31" s="9" t="inlineStr">
        <is>
          <t>ACQUISITION J1</t>
        </is>
      </c>
      <c r="G31" s="9" t="inlineStr">
        <is>
          <t>10</t>
        </is>
      </c>
      <c r="H31" s="9" t="inlineStr">
        <is>
          <t>BU</t>
        </is>
      </c>
      <c r="I31" s="10" t="n"/>
      <c r="J31" s="11">
        <f>IF(I31="","",IFERROR(INDEX(Lists!$F$3:$F$17,MATCH(I31,Lists!$E$3:$E$17,0)),"?"))</f>
        <v/>
      </c>
      <c r="K31" s="9" t="inlineStr">
        <is>
          <t>N</t>
        </is>
      </c>
      <c r="L31" s="9" t="inlineStr">
        <is>
          <t>5V</t>
        </is>
      </c>
      <c r="M31" s="10" t="n"/>
      <c r="N31" s="11">
        <f>IF(D31="","",IFERROR(INDEX(Connectors!$J$2:$J$1000,MATCH(D31,Connectors!$A$2:$A$1000,0))&amp;"",""))</f>
        <v/>
      </c>
      <c r="O31" s="11">
        <f>IF(F31="","",IFERROR(INDEX(Connectors!$J$2:$J$1000,MATCH(F31,Connectors!$A$2:$A$1000,0))&amp;"",""))</f>
        <v/>
      </c>
      <c r="P31" s="13" t="inlineStr">
        <is>
          <t>TP1</t>
        </is>
      </c>
      <c r="Q31" s="9" t="n"/>
      <c r="R31" s="10" t="n"/>
      <c r="S31" s="9" t="inlineStr">
        <is>
          <t>PowerTrain CAN Bus High</t>
        </is>
      </c>
      <c r="T31" s="9" t="inlineStr">
        <is>
          <t>1 ponta (folha Raspberry Pi)</t>
        </is>
      </c>
      <c r="U31" s="12" t="inlineStr">
        <is>
          <t>I-03</t>
        </is>
      </c>
      <c r="V31" s="11">
        <f>IF(D31="","",IF(COUNTIF(Connectors!$A$2:$A$1000,D31)=0,"from_ref não existe; ","")&amp;IF(COUNTIF(Connectors!$A$2:$A$1000,F31)=0,"to_ref não existe; ","")&amp;IF(AND(H31&lt;&gt;"",COUNTIF(Lists!$A$3:$A$14,H31)=0),"cor inválida; ","")&amp;IF(H31="","sem cor; ","")&amp;IF((K31="Y")&lt;&gt;(H31="OG"),"HV e laranja não batem; ","")&amp;IF(AND(K31="Y",OR(IFERROR(INDEX(Connectors!$F$2:$F$1000,MATCH(D31,Connectors!$A$2:$A$1000,0)),"")&lt;&gt;"Y",IFERROR(INDEX(Connectors!$F$2:$F$1000,MATCH(F31,Connectors!$A$2:$A$1000,0)),"")&lt;&gt;"Y")),"fio HV em ficha não HV rated; ","")&amp;IF(AND(COUNTIF($W$2:$W$1000,W31)+COUNTIF($X$2:$X$1000,W31)&gt;1,ISERROR(MATCH(IFERROR(INDEX(Connectors!$D$2:$D$1000,MATCH(D31,Connectors!$A$2:$A$1000,0)),""),{"SPLICE","STUD"},0))),"pino from com &gt;1 fio; ","")&amp;IF(AND(COUNTIF($W$2:$W$1000,X31)+COUNTIF($X$2:$X$1000,X31)&gt;1,ISERROR(MATCH(IFERROR(INDEX(Connectors!$D$2:$D$1000,MATCH(F31,Connectors!$A$2:$A$1000,0)),""),{"SPLICE","STUD"},0))),"pino to com &gt;1 fio; ","")&amp;IF(I31="","sem secção; ",""))</f>
        <v/>
      </c>
      <c r="W31" s="11">
        <f>IF(D31="","",D31&amp;":"&amp;E31&amp;IF(EXACT(E31,UPPER(E31)),"","|lc"))</f>
        <v/>
      </c>
      <c r="X31" s="11">
        <f>IF(F31="","",F31&amp;":"&amp;G31&amp;IF(EXACT(G31,UPPER(G31)),"","|lc"))</f>
        <v/>
      </c>
      <c r="Y31" s="9" t="n"/>
      <c r="Z31" s="9" t="n"/>
    </row>
    <row r="32">
      <c r="A32" s="12" t="inlineStr">
        <is>
          <t>W-DATABOX-031</t>
        </is>
      </c>
      <c r="B32" s="9" t="inlineStr">
        <is>
          <t>DATABOX</t>
        </is>
      </c>
      <c r="C32" s="9" t="inlineStr">
        <is>
          <t>DATA_CAN_L</t>
        </is>
      </c>
      <c r="D32" s="9" t="inlineStr">
        <is>
          <t>RASPBERRY J3</t>
        </is>
      </c>
      <c r="E32" s="9" t="inlineStr">
        <is>
          <t>2</t>
        </is>
      </c>
      <c r="F32" s="9" t="inlineStr">
        <is>
          <t>DATABOX J1</t>
        </is>
      </c>
      <c r="G32" s="9" t="inlineStr">
        <is>
          <t>G</t>
        </is>
      </c>
      <c r="H32" s="9" t="inlineStr">
        <is>
          <t>GN</t>
        </is>
      </c>
      <c r="I32" s="10" t="n"/>
      <c r="J32" s="11">
        <f>IF(I32="","",IFERROR(INDEX(Lists!$F$3:$F$17,MATCH(I32,Lists!$E$3:$E$17,0)),"?"))</f>
        <v/>
      </c>
      <c r="K32" s="9" t="inlineStr">
        <is>
          <t>N</t>
        </is>
      </c>
      <c r="L32" s="9" t="inlineStr">
        <is>
          <t>5V</t>
        </is>
      </c>
      <c r="M32" s="10" t="n"/>
      <c r="N32" s="11">
        <f>IF(D32="","",IFERROR(INDEX(Connectors!$J$2:$J$1000,MATCH(D32,Connectors!$A$2:$A$1000,0))&amp;"",""))</f>
        <v/>
      </c>
      <c r="O32" s="11">
        <f>IF(F32="","",IFERROR(INDEX(Connectors!$J$2:$J$1000,MATCH(F32,Connectors!$A$2:$A$1000,0))&amp;"",""))</f>
        <v/>
      </c>
      <c r="P32" s="13" t="inlineStr">
        <is>
          <t>TP2</t>
        </is>
      </c>
      <c r="Q32" s="9" t="n"/>
      <c r="R32" s="10" t="n"/>
      <c r="S32" s="9" t="inlineStr">
        <is>
          <t>Data CAN Bus Low</t>
        </is>
      </c>
      <c r="T32" s="9" t="inlineStr">
        <is>
          <t>2 pontas</t>
        </is>
      </c>
      <c r="U32" s="12" t="inlineStr">
        <is>
          <t>I-02</t>
        </is>
      </c>
      <c r="V32" s="11">
        <f>IF(D32="","",IF(COUNTIF(Connectors!$A$2:$A$1000,D32)=0,"from_ref não existe; ","")&amp;IF(COUNTIF(Connectors!$A$2:$A$1000,F32)=0,"to_ref não existe; ","")&amp;IF(AND(H32&lt;&gt;"",COUNTIF(Lists!$A$3:$A$14,H32)=0),"cor inválida; ","")&amp;IF(H32="","sem cor; ","")&amp;IF((K32="Y")&lt;&gt;(H32="OG"),"HV e laranja não batem; ","")&amp;IF(AND(K32="Y",OR(IFERROR(INDEX(Connectors!$F$2:$F$1000,MATCH(D32,Connectors!$A$2:$A$1000,0)),"")&lt;&gt;"Y",IFERROR(INDEX(Connectors!$F$2:$F$1000,MATCH(F32,Connectors!$A$2:$A$1000,0)),"")&lt;&gt;"Y")),"fio HV em ficha não HV rated; ","")&amp;IF(AND(COUNTIF($W$2:$W$1000,W32)+COUNTIF($X$2:$X$1000,W32)&gt;1,ISERROR(MATCH(IFERROR(INDEX(Connectors!$D$2:$D$1000,MATCH(D32,Connectors!$A$2:$A$1000,0)),""),{"SPLICE","STUD"},0))),"pino from com &gt;1 fio; ","")&amp;IF(AND(COUNTIF($W$2:$W$1000,X32)+COUNTIF($X$2:$X$1000,X32)&gt;1,ISERROR(MATCH(IFERROR(INDEX(Connectors!$D$2:$D$1000,MATCH(F32,Connectors!$A$2:$A$1000,0)),""),{"SPLICE","STUD"},0))),"pino to com &gt;1 fio; ","")&amp;IF(I32="","sem secção; ",""))</f>
        <v/>
      </c>
      <c r="W32" s="11">
        <f>IF(D32="","",D32&amp;":"&amp;E32&amp;IF(EXACT(E32,UPPER(E32)),"","|lc"))</f>
        <v/>
      </c>
      <c r="X32" s="11">
        <f>IF(F32="","",F32&amp;":"&amp;G32&amp;IF(EXACT(G32,UPPER(G32)),"","|lc"))</f>
        <v/>
      </c>
      <c r="Y32" s="9" t="n"/>
      <c r="Z32" s="9" t="n"/>
    </row>
    <row r="33">
      <c r="A33" s="12" t="inlineStr">
        <is>
          <t>W-DATABOX-032</t>
        </is>
      </c>
      <c r="B33" s="9" t="inlineStr">
        <is>
          <t>DATABOX</t>
        </is>
      </c>
      <c r="C33" s="9" t="inlineStr">
        <is>
          <t>DATA_CAN_H</t>
        </is>
      </c>
      <c r="D33" s="9" t="inlineStr">
        <is>
          <t>RASPBERRY J3</t>
        </is>
      </c>
      <c r="E33" s="9" t="inlineStr">
        <is>
          <t>3</t>
        </is>
      </c>
      <c r="F33" s="9" t="inlineStr">
        <is>
          <t>DATABOX J1</t>
        </is>
      </c>
      <c r="G33" s="9" t="inlineStr">
        <is>
          <t>H</t>
        </is>
      </c>
      <c r="H33" s="9" t="inlineStr">
        <is>
          <t>GY</t>
        </is>
      </c>
      <c r="I33" s="10" t="n"/>
      <c r="J33" s="11">
        <f>IF(I33="","",IFERROR(INDEX(Lists!$F$3:$F$17,MATCH(I33,Lists!$E$3:$E$17,0)),"?"))</f>
        <v/>
      </c>
      <c r="K33" s="9" t="inlineStr">
        <is>
          <t>N</t>
        </is>
      </c>
      <c r="L33" s="9" t="inlineStr">
        <is>
          <t>5V</t>
        </is>
      </c>
      <c r="M33" s="10" t="n"/>
      <c r="N33" s="11">
        <f>IF(D33="","",IFERROR(INDEX(Connectors!$J$2:$J$1000,MATCH(D33,Connectors!$A$2:$A$1000,0))&amp;"",""))</f>
        <v/>
      </c>
      <c r="O33" s="11">
        <f>IF(F33="","",IFERROR(INDEX(Connectors!$J$2:$J$1000,MATCH(F33,Connectors!$A$2:$A$1000,0))&amp;"",""))</f>
        <v/>
      </c>
      <c r="P33" s="13" t="inlineStr">
        <is>
          <t>TP2</t>
        </is>
      </c>
      <c r="Q33" s="9" t="n"/>
      <c r="R33" s="10" t="n"/>
      <c r="S33" s="9" t="inlineStr">
        <is>
          <t>Data CAN Bus High</t>
        </is>
      </c>
      <c r="T33" s="9" t="inlineStr">
        <is>
          <t>2 pontas</t>
        </is>
      </c>
      <c r="U33" s="12" t="inlineStr">
        <is>
          <t>I-04</t>
        </is>
      </c>
      <c r="V33" s="11">
        <f>IF(D33="","",IF(COUNTIF(Connectors!$A$2:$A$1000,D33)=0,"from_ref não existe; ","")&amp;IF(COUNTIF(Connectors!$A$2:$A$1000,F33)=0,"to_ref não existe; ","")&amp;IF(AND(H33&lt;&gt;"",COUNTIF(Lists!$A$3:$A$14,H33)=0),"cor inválida; ","")&amp;IF(H33="","sem cor; ","")&amp;IF((K33="Y")&lt;&gt;(H33="OG"),"HV e laranja não batem; ","")&amp;IF(AND(K33="Y",OR(IFERROR(INDEX(Connectors!$F$2:$F$1000,MATCH(D33,Connectors!$A$2:$A$1000,0)),"")&lt;&gt;"Y",IFERROR(INDEX(Connectors!$F$2:$F$1000,MATCH(F33,Connectors!$A$2:$A$1000,0)),"")&lt;&gt;"Y")),"fio HV em ficha não HV rated; ","")&amp;IF(AND(COUNTIF($W$2:$W$1000,W33)+COUNTIF($X$2:$X$1000,W33)&gt;1,ISERROR(MATCH(IFERROR(INDEX(Connectors!$D$2:$D$1000,MATCH(D33,Connectors!$A$2:$A$1000,0)),""),{"SPLICE","STUD"},0))),"pino from com &gt;1 fio; ","")&amp;IF(AND(COUNTIF($W$2:$W$1000,X33)+COUNTIF($X$2:$X$1000,X33)&gt;1,ISERROR(MATCH(IFERROR(INDEX(Connectors!$D$2:$D$1000,MATCH(F33,Connectors!$A$2:$A$1000,0)),""),{"SPLICE","STUD"},0))),"pino to com &gt;1 fio; ","")&amp;IF(I33="","sem secção; ",""))</f>
        <v/>
      </c>
      <c r="W33" s="11">
        <f>IF(D33="","",D33&amp;":"&amp;E33&amp;IF(EXACT(E33,UPPER(E33)),"","|lc"))</f>
        <v/>
      </c>
      <c r="X33" s="11">
        <f>IF(F33="","",F33&amp;":"&amp;G33&amp;IF(EXACT(G33,UPPER(G33)),"","|lc"))</f>
        <v/>
      </c>
      <c r="Y33" s="9" t="n"/>
      <c r="Z33" s="9" t="n"/>
    </row>
    <row r="34">
      <c r="A34" s="9" t="inlineStr">
        <is>
          <t>W-DATABOX-033</t>
        </is>
      </c>
      <c r="B34" s="9" t="inlineStr">
        <is>
          <t>DATABOX</t>
        </is>
      </c>
      <c r="C34" s="9" t="inlineStr">
        <is>
          <t>OUT</t>
        </is>
      </c>
      <c r="D34" s="9" t="inlineStr">
        <is>
          <t>RASPBERRY J4</t>
        </is>
      </c>
      <c r="E34" s="9" t="inlineStr">
        <is>
          <t>Power_LCD</t>
        </is>
      </c>
      <c r="F34" s="9" t="inlineStr">
        <is>
          <t>LCD</t>
        </is>
      </c>
      <c r="G34" s="9" t="inlineStr">
        <is>
          <t>LCD Power</t>
        </is>
      </c>
      <c r="H34" s="10" t="n"/>
      <c r="I34" s="10" t="n"/>
      <c r="J34" s="11">
        <f>IF(I34="","",IFERROR(INDEX(Lists!$F$3:$F$17,MATCH(I34,Lists!$E$3:$E$17,0)),"?"))</f>
        <v/>
      </c>
      <c r="K34" s="9" t="inlineStr">
        <is>
          <t>N</t>
        </is>
      </c>
      <c r="L34" s="9" t="n"/>
      <c r="M34" s="10" t="n"/>
      <c r="N34" s="11">
        <f>IF(D34="","",IFERROR(INDEX(Connectors!$J$2:$J$1000,MATCH(D34,Connectors!$A$2:$A$1000,0))&amp;"",""))</f>
        <v/>
      </c>
      <c r="O34" s="11">
        <f>IF(F34="","",IFERROR(INDEX(Connectors!$J$2:$J$1000,MATCH(F34,Connectors!$A$2:$A$1000,0))&amp;"",""))</f>
        <v/>
      </c>
      <c r="P34" s="9" t="n"/>
      <c r="Q34" s="9" t="n"/>
      <c r="R34" s="10" t="n"/>
      <c r="S34" s="9" t="n"/>
      <c r="T34" s="9" t="inlineStr">
        <is>
          <t>1 ponta (folha Raspberry Pi)</t>
        </is>
      </c>
      <c r="U34" s="9" t="n"/>
      <c r="V34" s="11">
        <f>IF(D34="","",IF(COUNTIF(Connectors!$A$2:$A$1000,D34)=0,"from_ref não existe; ","")&amp;IF(COUNTIF(Connectors!$A$2:$A$1000,F34)=0,"to_ref não existe; ","")&amp;IF(AND(H34&lt;&gt;"",COUNTIF(Lists!$A$3:$A$14,H34)=0),"cor inválida; ","")&amp;IF(H34="","sem cor; ","")&amp;IF((K34="Y")&lt;&gt;(H34="OG"),"HV e laranja não batem; ","")&amp;IF(AND(K34="Y",OR(IFERROR(INDEX(Connectors!$F$2:$F$1000,MATCH(D34,Connectors!$A$2:$A$1000,0)),"")&lt;&gt;"Y",IFERROR(INDEX(Connectors!$F$2:$F$1000,MATCH(F34,Connectors!$A$2:$A$1000,0)),"")&lt;&gt;"Y")),"fio HV em ficha não HV rated; ","")&amp;IF(AND(COUNTIF($W$2:$W$1000,W34)+COUNTIF($X$2:$X$1000,W34)&gt;1,ISERROR(MATCH(IFERROR(INDEX(Connectors!$D$2:$D$1000,MATCH(D34,Connectors!$A$2:$A$1000,0)),""),{"SPLICE","STUD"},0))),"pino from com &gt;1 fio; ","")&amp;IF(AND(COUNTIF($W$2:$W$1000,X34)+COUNTIF($X$2:$X$1000,X34)&gt;1,ISERROR(MATCH(IFERROR(INDEX(Connectors!$D$2:$D$1000,MATCH(F34,Connectors!$A$2:$A$1000,0)),""),{"SPLICE","STUD"},0))),"pino to com &gt;1 fio; ","")&amp;IF(I34="","sem secção; ",""))</f>
        <v/>
      </c>
      <c r="W34" s="11">
        <f>IF(D34="","",D34&amp;":"&amp;E34&amp;IF(EXACT(E34,UPPER(E34)),"","|lc"))</f>
        <v/>
      </c>
      <c r="X34" s="11">
        <f>IF(F34="","",F34&amp;":"&amp;G34&amp;IF(EXACT(G34,UPPER(G34)),"","|lc"))</f>
        <v/>
      </c>
      <c r="Y34" s="9" t="inlineStr">
        <is>
          <t>LCD</t>
        </is>
      </c>
      <c r="Z34" s="9" t="n"/>
    </row>
    <row r="35">
      <c r="A35" s="9" t="inlineStr">
        <is>
          <t>W-DATABOX-034</t>
        </is>
      </c>
      <c r="B35" s="9" t="inlineStr">
        <is>
          <t>DATABOX</t>
        </is>
      </c>
      <c r="C35" s="9" t="inlineStr">
        <is>
          <t>HDMI</t>
        </is>
      </c>
      <c r="D35" s="9" t="inlineStr">
        <is>
          <t>RASPBERRY J5</t>
        </is>
      </c>
      <c r="E35" s="9" t="inlineStr">
        <is>
          <t>HDMI</t>
        </is>
      </c>
      <c r="F35" s="9" t="inlineStr">
        <is>
          <t>LCD</t>
        </is>
      </c>
      <c r="G35" s="9" t="inlineStr">
        <is>
          <t>HDMI</t>
        </is>
      </c>
      <c r="H35" s="10" t="n"/>
      <c r="I35" s="10" t="n"/>
      <c r="J35" s="11">
        <f>IF(I35="","",IFERROR(INDEX(Lists!$F$3:$F$17,MATCH(I35,Lists!$E$3:$E$17,0)),"?"))</f>
        <v/>
      </c>
      <c r="K35" s="9" t="inlineStr">
        <is>
          <t>N</t>
        </is>
      </c>
      <c r="L35" s="9" t="n"/>
      <c r="M35" s="10" t="n"/>
      <c r="N35" s="11">
        <f>IF(D35="","",IFERROR(INDEX(Connectors!$J$2:$J$1000,MATCH(D35,Connectors!$A$2:$A$1000,0))&amp;"",""))</f>
        <v/>
      </c>
      <c r="O35" s="11">
        <f>IF(F35="","",IFERROR(INDEX(Connectors!$J$2:$J$1000,MATCH(F35,Connectors!$A$2:$A$1000,0))&amp;"",""))</f>
        <v/>
      </c>
      <c r="P35" s="9" t="n"/>
      <c r="Q35" s="9" t="n"/>
      <c r="R35" s="10" t="n"/>
      <c r="S35" s="9" t="n"/>
      <c r="T35" s="9" t="inlineStr">
        <is>
          <t>1 ponta (folha Raspberry Pi)</t>
        </is>
      </c>
      <c r="U35" s="9" t="n"/>
      <c r="V35" s="11">
        <f>IF(D35="","",IF(COUNTIF(Connectors!$A$2:$A$1000,D35)=0,"from_ref não existe; ","")&amp;IF(COUNTIF(Connectors!$A$2:$A$1000,F35)=0,"to_ref não existe; ","")&amp;IF(AND(H35&lt;&gt;"",COUNTIF(Lists!$A$3:$A$14,H35)=0),"cor inválida; ","")&amp;IF(H35="","sem cor; ","")&amp;IF((K35="Y")&lt;&gt;(H35="OG"),"HV e laranja não batem; ","")&amp;IF(AND(K35="Y",OR(IFERROR(INDEX(Connectors!$F$2:$F$1000,MATCH(D35,Connectors!$A$2:$A$1000,0)),"")&lt;&gt;"Y",IFERROR(INDEX(Connectors!$F$2:$F$1000,MATCH(F35,Connectors!$A$2:$A$1000,0)),"")&lt;&gt;"Y")),"fio HV em ficha não HV rated; ","")&amp;IF(AND(COUNTIF($W$2:$W$1000,W35)+COUNTIF($X$2:$X$1000,W35)&gt;1,ISERROR(MATCH(IFERROR(INDEX(Connectors!$D$2:$D$1000,MATCH(D35,Connectors!$A$2:$A$1000,0)),""),{"SPLICE","STUD"},0))),"pino from com &gt;1 fio; ","")&amp;IF(AND(COUNTIF($W$2:$W$1000,X35)+COUNTIF($X$2:$X$1000,X35)&gt;1,ISERROR(MATCH(IFERROR(INDEX(Connectors!$D$2:$D$1000,MATCH(F35,Connectors!$A$2:$A$1000,0)),""),{"SPLICE","STUD"},0))),"pino to com &gt;1 fio; ","")&amp;IF(I35="","sem secção; ",""))</f>
        <v/>
      </c>
      <c r="W35" s="11">
        <f>IF(D35="","",D35&amp;":"&amp;E35&amp;IF(EXACT(E35,UPPER(E35)),"","|lc"))</f>
        <v/>
      </c>
      <c r="X35" s="11">
        <f>IF(F35="","",F35&amp;":"&amp;G35&amp;IF(EXACT(G35,UPPER(G35)),"","|lc"))</f>
        <v/>
      </c>
      <c r="Y35" s="9" t="inlineStr">
        <is>
          <t>Raspberry Pi Micro HDMI Port</t>
        </is>
      </c>
      <c r="Z35" s="9" t="n"/>
    </row>
    <row r="36">
      <c r="A36" s="9" t="inlineStr">
        <is>
          <t>W-DATABOX-035</t>
        </is>
      </c>
      <c r="B36" s="9" t="inlineStr">
        <is>
          <t>DATABOX</t>
        </is>
      </c>
      <c r="C36" s="9" t="inlineStr">
        <is>
          <t>RASPBERRY J6-2 - 5V</t>
        </is>
      </c>
      <c r="D36" s="9" t="inlineStr">
        <is>
          <t>RASPBERRY J6</t>
        </is>
      </c>
      <c r="E36" s="9" t="inlineStr">
        <is>
          <t>2 - 5V</t>
        </is>
      </c>
      <c r="F36" s="9" t="inlineStr">
        <is>
          <t>SPL RASPBERRY J6-2 - 5V</t>
        </is>
      </c>
      <c r="G36" s="9" t="inlineStr">
        <is>
          <t>S</t>
        </is>
      </c>
      <c r="H36" s="9" t="inlineStr">
        <is>
          <t>YE</t>
        </is>
      </c>
      <c r="I36" s="10" t="n"/>
      <c r="J36" s="11">
        <f>IF(I36="","",IFERROR(INDEX(Lists!$F$3:$F$17,MATCH(I36,Lists!$E$3:$E$17,0)),"?"))</f>
        <v/>
      </c>
      <c r="K36" s="9" t="inlineStr">
        <is>
          <t>N</t>
        </is>
      </c>
      <c r="L36" s="9" t="inlineStr">
        <is>
          <t>5V</t>
        </is>
      </c>
      <c r="M36" s="10" t="n"/>
      <c r="N36" s="11">
        <f>IF(D36="","",IFERROR(INDEX(Connectors!$J$2:$J$1000,MATCH(D36,Connectors!$A$2:$A$1000,0))&amp;"",""))</f>
        <v/>
      </c>
      <c r="O36" s="11">
        <f>IF(F36="","",IFERROR(INDEX(Connectors!$J$2:$J$1000,MATCH(F36,Connectors!$A$2:$A$1000,0))&amp;"",""))</f>
        <v/>
      </c>
      <c r="P36" s="9" t="n"/>
      <c r="Q36" s="9" t="n"/>
      <c r="R36" s="10" t="n"/>
      <c r="S36" s="9" t="inlineStr">
        <is>
          <t>Rotory Encoder A Supply</t>
        </is>
      </c>
      <c r="T36" s="9" t="inlineStr">
        <is>
          <t>1 ponta (folha Raspberry Pi)</t>
        </is>
      </c>
      <c r="U36" s="9" t="n"/>
      <c r="V36" s="11">
        <f>IF(D36="","",IF(COUNTIF(Connectors!$A$2:$A$1000,D36)=0,"from_ref não existe; ","")&amp;IF(COUNTIF(Connectors!$A$2:$A$1000,F36)=0,"to_ref não existe; ","")&amp;IF(AND(H36&lt;&gt;"",COUNTIF(Lists!$A$3:$A$14,H36)=0),"cor inválida; ","")&amp;IF(H36="","sem cor; ","")&amp;IF((K36="Y")&lt;&gt;(H36="OG"),"HV e laranja não batem; ","")&amp;IF(AND(K36="Y",OR(IFERROR(INDEX(Connectors!$F$2:$F$1000,MATCH(D36,Connectors!$A$2:$A$1000,0)),"")&lt;&gt;"Y",IFERROR(INDEX(Connectors!$F$2:$F$1000,MATCH(F36,Connectors!$A$2:$A$1000,0)),"")&lt;&gt;"Y")),"fio HV em ficha não HV rated; ","")&amp;IF(AND(COUNTIF($W$2:$W$1000,W36)+COUNTIF($X$2:$X$1000,W36)&gt;1,ISERROR(MATCH(IFERROR(INDEX(Connectors!$D$2:$D$1000,MATCH(D36,Connectors!$A$2:$A$1000,0)),""),{"SPLICE","STUD"},0))),"pino from com &gt;1 fio; ","")&amp;IF(AND(COUNTIF($W$2:$W$1000,X36)+COUNTIF($X$2:$X$1000,X36)&gt;1,ISERROR(MATCH(IFERROR(INDEX(Connectors!$D$2:$D$1000,MATCH(F36,Connectors!$A$2:$A$1000,0)),""),{"SPLICE","STUD"},0))),"pino to com &gt;1 fio; ","")&amp;IF(I36="","sem secção; ",""))</f>
        <v/>
      </c>
      <c r="W36" s="11">
        <f>IF(D36="","",D36&amp;":"&amp;E36&amp;IF(EXACT(E36,UPPER(E36)),"","|lc"))</f>
        <v/>
      </c>
      <c r="X36" s="11">
        <f>IF(F36="","",F36&amp;":"&amp;G36&amp;IF(EXACT(G36,UPPER(G36)),"","|lc"))</f>
        <v/>
      </c>
      <c r="Y36" s="9" t="n"/>
      <c r="Z36" s="9" t="n"/>
    </row>
    <row r="37">
      <c r="A37" s="12" t="inlineStr">
        <is>
          <t>W-DATABOX-036</t>
        </is>
      </c>
      <c r="B37" s="9" t="inlineStr">
        <is>
          <t>DATABOX</t>
        </is>
      </c>
      <c r="C37" s="9" t="inlineStr">
        <is>
          <t>RASPBERRY J6-2 - 5V</t>
        </is>
      </c>
      <c r="D37" s="9" t="inlineStr">
        <is>
          <t>SPL RASPBERRY J6-2 - 5V</t>
        </is>
      </c>
      <c r="E37" s="9" t="inlineStr">
        <is>
          <t>S</t>
        </is>
      </c>
      <c r="F37" s="9" t="inlineStr">
        <is>
          <t>DATABOX J1</t>
        </is>
      </c>
      <c r="G37" s="9" t="inlineStr">
        <is>
          <t>W</t>
        </is>
      </c>
      <c r="H37" s="9" t="inlineStr">
        <is>
          <t>YE</t>
        </is>
      </c>
      <c r="I37" s="10" t="n"/>
      <c r="J37" s="11">
        <f>IF(I37="","",IFERROR(INDEX(Lists!$F$3:$F$17,MATCH(I37,Lists!$E$3:$E$17,0)),"?"))</f>
        <v/>
      </c>
      <c r="K37" s="9" t="inlineStr">
        <is>
          <t>N</t>
        </is>
      </c>
      <c r="L37" s="9" t="inlineStr">
        <is>
          <t>5V</t>
        </is>
      </c>
      <c r="M37" s="10" t="n"/>
      <c r="N37" s="11">
        <f>IF(D37="","",IFERROR(INDEX(Connectors!$J$2:$J$1000,MATCH(D37,Connectors!$A$2:$A$1000,0))&amp;"",""))</f>
        <v/>
      </c>
      <c r="O37" s="11">
        <f>IF(F37="","",IFERROR(INDEX(Connectors!$J$2:$J$1000,MATCH(F37,Connectors!$A$2:$A$1000,0))&amp;"",""))</f>
        <v/>
      </c>
      <c r="P37" s="9" t="n"/>
      <c r="Q37" s="9" t="n"/>
      <c r="R37" s="10" t="n"/>
      <c r="S37" s="9" t="inlineStr">
        <is>
          <t>Rotory Encoder A Supply</t>
        </is>
      </c>
      <c r="T37" s="9" t="inlineStr">
        <is>
          <t>1 ponta (folha Raspberry Pi)</t>
        </is>
      </c>
      <c r="U37" s="12" t="inlineStr">
        <is>
          <t>I-07</t>
        </is>
      </c>
      <c r="V37" s="11">
        <f>IF(D37="","",IF(COUNTIF(Connectors!$A$2:$A$1000,D37)=0,"from_ref não existe; ","")&amp;IF(COUNTIF(Connectors!$A$2:$A$1000,F37)=0,"to_ref não existe; ","")&amp;IF(AND(H37&lt;&gt;"",COUNTIF(Lists!$A$3:$A$14,H37)=0),"cor inválida; ","")&amp;IF(H37="","sem cor; ","")&amp;IF((K37="Y")&lt;&gt;(H37="OG"),"HV e laranja não batem; ","")&amp;IF(AND(K37="Y",OR(IFERROR(INDEX(Connectors!$F$2:$F$1000,MATCH(D37,Connectors!$A$2:$A$1000,0)),"")&lt;&gt;"Y",IFERROR(INDEX(Connectors!$F$2:$F$1000,MATCH(F37,Connectors!$A$2:$A$1000,0)),"")&lt;&gt;"Y")),"fio HV em ficha não HV rated; ","")&amp;IF(AND(COUNTIF($W$2:$W$1000,W37)+COUNTIF($X$2:$X$1000,W37)&gt;1,ISERROR(MATCH(IFERROR(INDEX(Connectors!$D$2:$D$1000,MATCH(D37,Connectors!$A$2:$A$1000,0)),""),{"SPLICE","STUD"},0))),"pino from com &gt;1 fio; ","")&amp;IF(AND(COUNTIF($W$2:$W$1000,X37)+COUNTIF($X$2:$X$1000,X37)&gt;1,ISERROR(MATCH(IFERROR(INDEX(Connectors!$D$2:$D$1000,MATCH(F37,Connectors!$A$2:$A$1000,0)),""),{"SPLICE","STUD"},0))),"pino to com &gt;1 fio; ","")&amp;IF(I37="","sem secção; ",""))</f>
        <v/>
      </c>
      <c r="W37" s="11">
        <f>IF(D37="","",D37&amp;":"&amp;E37&amp;IF(EXACT(E37,UPPER(E37)),"","|lc"))</f>
        <v/>
      </c>
      <c r="X37" s="11">
        <f>IF(F37="","",F37&amp;":"&amp;G37&amp;IF(EXACT(G37,UPPER(G37)),"","|lc"))</f>
        <v/>
      </c>
      <c r="Y37" s="9" t="n"/>
      <c r="Z37" s="9" t="n"/>
    </row>
    <row r="38">
      <c r="A38" s="12" t="inlineStr">
        <is>
          <t>W-DATABOX-037</t>
        </is>
      </c>
      <c r="B38" s="9" t="inlineStr">
        <is>
          <t>DATABOX</t>
        </is>
      </c>
      <c r="C38" s="9" t="inlineStr">
        <is>
          <t>RASPBERRY J6-2 - 5V</t>
        </is>
      </c>
      <c r="D38" s="9" t="inlineStr">
        <is>
          <t>SPL RASPBERRY J6-2 - 5V</t>
        </is>
      </c>
      <c r="E38" s="9" t="inlineStr">
        <is>
          <t>S</t>
        </is>
      </c>
      <c r="F38" s="9" t="inlineStr">
        <is>
          <t>LED STRIP J1</t>
        </is>
      </c>
      <c r="G38" s="9" t="inlineStr">
        <is>
          <t>1</t>
        </is>
      </c>
      <c r="H38" s="9" t="inlineStr">
        <is>
          <t>YE</t>
        </is>
      </c>
      <c r="I38" s="10" t="n"/>
      <c r="J38" s="11">
        <f>IF(I38="","",IFERROR(INDEX(Lists!$F$3:$F$17,MATCH(I38,Lists!$E$3:$E$17,0)),"?"))</f>
        <v/>
      </c>
      <c r="K38" s="9" t="inlineStr">
        <is>
          <t>N</t>
        </is>
      </c>
      <c r="L38" s="9" t="inlineStr">
        <is>
          <t>5V</t>
        </is>
      </c>
      <c r="M38" s="10" t="n"/>
      <c r="N38" s="11">
        <f>IF(D38="","",IFERROR(INDEX(Connectors!$J$2:$J$1000,MATCH(D38,Connectors!$A$2:$A$1000,0))&amp;"",""))</f>
        <v/>
      </c>
      <c r="O38" s="11">
        <f>IF(F38="","",IFERROR(INDEX(Connectors!$J$2:$J$1000,MATCH(F38,Connectors!$A$2:$A$1000,0))&amp;"",""))</f>
        <v/>
      </c>
      <c r="P38" s="9" t="n"/>
      <c r="Q38" s="9" t="n"/>
      <c r="R38" s="10" t="n"/>
      <c r="S38" s="9" t="inlineStr">
        <is>
          <t>LED Strip Power</t>
        </is>
      </c>
      <c r="T38" s="9" t="inlineStr">
        <is>
          <t>1 ponta (folha Raspberry Pi)</t>
        </is>
      </c>
      <c r="U38" s="12" t="inlineStr">
        <is>
          <t>I-08</t>
        </is>
      </c>
      <c r="V38" s="11">
        <f>IF(D38="","",IF(COUNTIF(Connectors!$A$2:$A$1000,D38)=0,"from_ref não existe; ","")&amp;IF(COUNTIF(Connectors!$A$2:$A$1000,F38)=0,"to_ref não existe; ","")&amp;IF(AND(H38&lt;&gt;"",COUNTIF(Lists!$A$3:$A$14,H38)=0),"cor inválida; ","")&amp;IF(H38="","sem cor; ","")&amp;IF((K38="Y")&lt;&gt;(H38="OG"),"HV e laranja não batem; ","")&amp;IF(AND(K38="Y",OR(IFERROR(INDEX(Connectors!$F$2:$F$1000,MATCH(D38,Connectors!$A$2:$A$1000,0)),"")&lt;&gt;"Y",IFERROR(INDEX(Connectors!$F$2:$F$1000,MATCH(F38,Connectors!$A$2:$A$1000,0)),"")&lt;&gt;"Y")),"fio HV em ficha não HV rated; ","")&amp;IF(AND(COUNTIF($W$2:$W$1000,W38)+COUNTIF($X$2:$X$1000,W38)&gt;1,ISERROR(MATCH(IFERROR(INDEX(Connectors!$D$2:$D$1000,MATCH(D38,Connectors!$A$2:$A$1000,0)),""),{"SPLICE","STUD"},0))),"pino from com &gt;1 fio; ","")&amp;IF(AND(COUNTIF($W$2:$W$1000,X38)+COUNTIF($X$2:$X$1000,X38)&gt;1,ISERROR(MATCH(IFERROR(INDEX(Connectors!$D$2:$D$1000,MATCH(F38,Connectors!$A$2:$A$1000,0)),""),{"SPLICE","STUD"},0))),"pino to com &gt;1 fio; ","")&amp;IF(I38="","sem secção; ",""))</f>
        <v/>
      </c>
      <c r="W38" s="11">
        <f>IF(D38="","",D38&amp;":"&amp;E38&amp;IF(EXACT(E38,UPPER(E38)),"","|lc"))</f>
        <v/>
      </c>
      <c r="X38" s="11">
        <f>IF(F38="","",F38&amp;":"&amp;G38&amp;IF(EXACT(G38,UPPER(G38)),"","|lc"))</f>
        <v/>
      </c>
      <c r="Y38" s="9" t="n"/>
      <c r="Z38" s="9" t="n"/>
    </row>
    <row r="39">
      <c r="A39" s="12" t="inlineStr">
        <is>
          <t>W-DATABOX-038</t>
        </is>
      </c>
      <c r="B39" s="9" t="inlineStr">
        <is>
          <t>DATABOX</t>
        </is>
      </c>
      <c r="C39" s="9" t="inlineStr">
        <is>
          <t>ENCODER_B_SUPPLY</t>
        </is>
      </c>
      <c r="D39" s="9" t="inlineStr">
        <is>
          <t>RASPBERRY J6</t>
        </is>
      </c>
      <c r="E39" s="9" t="inlineStr">
        <is>
          <t>4 - 5V</t>
        </is>
      </c>
      <c r="F39" s="9" t="inlineStr">
        <is>
          <t>DATABOX J1</t>
        </is>
      </c>
      <c r="G39" s="9" t="inlineStr">
        <is>
          <t>a</t>
        </is>
      </c>
      <c r="H39" s="9" t="inlineStr">
        <is>
          <t>YE</t>
        </is>
      </c>
      <c r="I39" s="10" t="n"/>
      <c r="J39" s="11">
        <f>IF(I39="","",IFERROR(INDEX(Lists!$F$3:$F$17,MATCH(I39,Lists!$E$3:$E$17,0)),"?"))</f>
        <v/>
      </c>
      <c r="K39" s="9" t="inlineStr">
        <is>
          <t>N</t>
        </is>
      </c>
      <c r="L39" s="9" t="inlineStr">
        <is>
          <t>5V</t>
        </is>
      </c>
      <c r="M39" s="10" t="n"/>
      <c r="N39" s="11">
        <f>IF(D39="","",IFERROR(INDEX(Connectors!$J$2:$J$1000,MATCH(D39,Connectors!$A$2:$A$1000,0))&amp;"",""))</f>
        <v/>
      </c>
      <c r="O39" s="11">
        <f>IF(F39="","",IFERROR(INDEX(Connectors!$J$2:$J$1000,MATCH(F39,Connectors!$A$2:$A$1000,0))&amp;"",""))</f>
        <v/>
      </c>
      <c r="P39" s="9" t="n"/>
      <c r="Q39" s="9" t="n"/>
      <c r="R39" s="10" t="n"/>
      <c r="S39" s="9" t="inlineStr">
        <is>
          <t>Rotory Encoder B Supply</t>
        </is>
      </c>
      <c r="T39" s="9" t="inlineStr">
        <is>
          <t>1 ponta (folha Raspberry Pi)</t>
        </is>
      </c>
      <c r="U39" s="12" t="inlineStr">
        <is>
          <t>I-09</t>
        </is>
      </c>
      <c r="V39" s="11">
        <f>IF(D39="","",IF(COUNTIF(Connectors!$A$2:$A$1000,D39)=0,"from_ref não existe; ","")&amp;IF(COUNTIF(Connectors!$A$2:$A$1000,F39)=0,"to_ref não existe; ","")&amp;IF(AND(H39&lt;&gt;"",COUNTIF(Lists!$A$3:$A$14,H39)=0),"cor inválida; ","")&amp;IF(H39="","sem cor; ","")&amp;IF((K39="Y")&lt;&gt;(H39="OG"),"HV e laranja não batem; ","")&amp;IF(AND(K39="Y",OR(IFERROR(INDEX(Connectors!$F$2:$F$1000,MATCH(D39,Connectors!$A$2:$A$1000,0)),"")&lt;&gt;"Y",IFERROR(INDEX(Connectors!$F$2:$F$1000,MATCH(F39,Connectors!$A$2:$A$1000,0)),"")&lt;&gt;"Y")),"fio HV em ficha não HV rated; ","")&amp;IF(AND(COUNTIF($W$2:$W$1000,W39)+COUNTIF($X$2:$X$1000,W39)&gt;1,ISERROR(MATCH(IFERROR(INDEX(Connectors!$D$2:$D$1000,MATCH(D39,Connectors!$A$2:$A$1000,0)),""),{"SPLICE","STUD"},0))),"pino from com &gt;1 fio; ","")&amp;IF(AND(COUNTIF($W$2:$W$1000,X39)+COUNTIF($X$2:$X$1000,X39)&gt;1,ISERROR(MATCH(IFERROR(INDEX(Connectors!$D$2:$D$1000,MATCH(F39,Connectors!$A$2:$A$1000,0)),""),{"SPLICE","STUD"},0))),"pino to com &gt;1 fio; ","")&amp;IF(I39="","sem secção; ",""))</f>
        <v/>
      </c>
      <c r="W39" s="11">
        <f>IF(D39="","",D39&amp;":"&amp;E39&amp;IF(EXACT(E39,UPPER(E39)),"","|lc"))</f>
        <v/>
      </c>
      <c r="X39" s="11">
        <f>IF(F39="","",F39&amp;":"&amp;G39&amp;IF(EXACT(G39,UPPER(G39)),"","|lc"))</f>
        <v/>
      </c>
      <c r="Y39" s="9" t="n"/>
      <c r="Z39" s="9" t="n"/>
    </row>
    <row r="40">
      <c r="A40" s="12" t="inlineStr">
        <is>
          <t>W-DATABOX-039</t>
        </is>
      </c>
      <c r="B40" s="9" t="inlineStr">
        <is>
          <t>DATABOX</t>
        </is>
      </c>
      <c r="C40" s="9" t="inlineStr">
        <is>
          <t>ENCODER_A_GND</t>
        </is>
      </c>
      <c r="D40" s="9" t="inlineStr">
        <is>
          <t>RASPBERRY J6</t>
        </is>
      </c>
      <c r="E40" s="9" t="inlineStr">
        <is>
          <t>6 - GND</t>
        </is>
      </c>
      <c r="F40" s="9" t="inlineStr">
        <is>
          <t>DATABOX J1</t>
        </is>
      </c>
      <c r="G40" s="9" t="inlineStr">
        <is>
          <t>Z</t>
        </is>
      </c>
      <c r="H40" s="9" t="inlineStr">
        <is>
          <t>BK</t>
        </is>
      </c>
      <c r="I40" s="10" t="n"/>
      <c r="J40" s="11">
        <f>IF(I40="","",IFERROR(INDEX(Lists!$F$3:$F$17,MATCH(I40,Lists!$E$3:$E$17,0)),"?"))</f>
        <v/>
      </c>
      <c r="K40" s="9" t="inlineStr">
        <is>
          <t>N</t>
        </is>
      </c>
      <c r="L40" s="9" t="inlineStr">
        <is>
          <t>0V</t>
        </is>
      </c>
      <c r="M40" s="10" t="n"/>
      <c r="N40" s="11">
        <f>IF(D40="","",IFERROR(INDEX(Connectors!$J$2:$J$1000,MATCH(D40,Connectors!$A$2:$A$1000,0))&amp;"",""))</f>
        <v/>
      </c>
      <c r="O40" s="11">
        <f>IF(F40="","",IFERROR(INDEX(Connectors!$J$2:$J$1000,MATCH(F40,Connectors!$A$2:$A$1000,0))&amp;"",""))</f>
        <v/>
      </c>
      <c r="P40" s="9" t="n"/>
      <c r="Q40" s="9" t="n"/>
      <c r="R40" s="10" t="n"/>
      <c r="S40" s="9" t="inlineStr">
        <is>
          <t>Rotory Encoder A Ground</t>
        </is>
      </c>
      <c r="T40" s="9" t="inlineStr">
        <is>
          <t>1 ponta (folha Raspberry Pi)</t>
        </is>
      </c>
      <c r="U40" s="12" t="inlineStr">
        <is>
          <t>I-10</t>
        </is>
      </c>
      <c r="V40" s="11">
        <f>IF(D40="","",IF(COUNTIF(Connectors!$A$2:$A$1000,D40)=0,"from_ref não existe; ","")&amp;IF(COUNTIF(Connectors!$A$2:$A$1000,F40)=0,"to_ref não existe; ","")&amp;IF(AND(H40&lt;&gt;"",COUNTIF(Lists!$A$3:$A$14,H40)=0),"cor inválida; ","")&amp;IF(H40="","sem cor; ","")&amp;IF((K40="Y")&lt;&gt;(H40="OG"),"HV e laranja não batem; ","")&amp;IF(AND(K40="Y",OR(IFERROR(INDEX(Connectors!$F$2:$F$1000,MATCH(D40,Connectors!$A$2:$A$1000,0)),"")&lt;&gt;"Y",IFERROR(INDEX(Connectors!$F$2:$F$1000,MATCH(F40,Connectors!$A$2:$A$1000,0)),"")&lt;&gt;"Y")),"fio HV em ficha não HV rated; ","")&amp;IF(AND(COUNTIF($W$2:$W$1000,W40)+COUNTIF($X$2:$X$1000,W40)&gt;1,ISERROR(MATCH(IFERROR(INDEX(Connectors!$D$2:$D$1000,MATCH(D40,Connectors!$A$2:$A$1000,0)),""),{"SPLICE","STUD"},0))),"pino from com &gt;1 fio; ","")&amp;IF(AND(COUNTIF($W$2:$W$1000,X40)+COUNTIF($X$2:$X$1000,X40)&gt;1,ISERROR(MATCH(IFERROR(INDEX(Connectors!$D$2:$D$1000,MATCH(F40,Connectors!$A$2:$A$1000,0)),""),{"SPLICE","STUD"},0))),"pino to com &gt;1 fio; ","")&amp;IF(I40="","sem secção; ",""))</f>
        <v/>
      </c>
      <c r="W40" s="11">
        <f>IF(D40="","",D40&amp;":"&amp;E40&amp;IF(EXACT(E40,UPPER(E40)),"","|lc"))</f>
        <v/>
      </c>
      <c r="X40" s="11">
        <f>IF(F40="","",F40&amp;":"&amp;G40&amp;IF(EXACT(G40,UPPER(G40)),"","|lc"))</f>
        <v/>
      </c>
      <c r="Y40" s="9" t="n"/>
      <c r="Z40" s="9" t="n"/>
    </row>
    <row r="41">
      <c r="A41" s="12" t="inlineStr">
        <is>
          <t>W-DATABOX-040</t>
        </is>
      </c>
      <c r="B41" s="9" t="inlineStr">
        <is>
          <t>DATABOX</t>
        </is>
      </c>
      <c r="C41" s="9" t="inlineStr">
        <is>
          <t>ENCODER_B_GND</t>
        </is>
      </c>
      <c r="D41" s="9" t="inlineStr">
        <is>
          <t>RASPBERRY J6</t>
        </is>
      </c>
      <c r="E41" s="9" t="inlineStr">
        <is>
          <t>9 - GND</t>
        </is>
      </c>
      <c r="F41" s="9" t="inlineStr">
        <is>
          <t>DATABOX J1</t>
        </is>
      </c>
      <c r="G41" s="9" t="inlineStr">
        <is>
          <t>d</t>
        </is>
      </c>
      <c r="H41" s="9" t="inlineStr">
        <is>
          <t>BK</t>
        </is>
      </c>
      <c r="I41" s="10" t="n"/>
      <c r="J41" s="11">
        <f>IF(I41="","",IFERROR(INDEX(Lists!$F$3:$F$17,MATCH(I41,Lists!$E$3:$E$17,0)),"?"))</f>
        <v/>
      </c>
      <c r="K41" s="9" t="inlineStr">
        <is>
          <t>N</t>
        </is>
      </c>
      <c r="L41" s="9" t="inlineStr">
        <is>
          <t>0V</t>
        </is>
      </c>
      <c r="M41" s="10" t="n"/>
      <c r="N41" s="11">
        <f>IF(D41="","",IFERROR(INDEX(Connectors!$J$2:$J$1000,MATCH(D41,Connectors!$A$2:$A$1000,0))&amp;"",""))</f>
        <v/>
      </c>
      <c r="O41" s="11">
        <f>IF(F41="","",IFERROR(INDEX(Connectors!$J$2:$J$1000,MATCH(F41,Connectors!$A$2:$A$1000,0))&amp;"",""))</f>
        <v/>
      </c>
      <c r="P41" s="9" t="n"/>
      <c r="Q41" s="9" t="n"/>
      <c r="R41" s="10" t="n"/>
      <c r="S41" s="9" t="inlineStr">
        <is>
          <t>Rotory Encoder B Ground</t>
        </is>
      </c>
      <c r="T41" s="9" t="inlineStr">
        <is>
          <t>1 ponta (folha Raspberry Pi)</t>
        </is>
      </c>
      <c r="U41" s="12" t="inlineStr">
        <is>
          <t>I-11</t>
        </is>
      </c>
      <c r="V41" s="11">
        <f>IF(D41="","",IF(COUNTIF(Connectors!$A$2:$A$1000,D41)=0,"from_ref não existe; ","")&amp;IF(COUNTIF(Connectors!$A$2:$A$1000,F41)=0,"to_ref não existe; ","")&amp;IF(AND(H41&lt;&gt;"",COUNTIF(Lists!$A$3:$A$14,H41)=0),"cor inválida; ","")&amp;IF(H41="","sem cor; ","")&amp;IF((K41="Y")&lt;&gt;(H41="OG"),"HV e laranja não batem; ","")&amp;IF(AND(K41="Y",OR(IFERROR(INDEX(Connectors!$F$2:$F$1000,MATCH(D41,Connectors!$A$2:$A$1000,0)),"")&lt;&gt;"Y",IFERROR(INDEX(Connectors!$F$2:$F$1000,MATCH(F41,Connectors!$A$2:$A$1000,0)),"")&lt;&gt;"Y")),"fio HV em ficha não HV rated; ","")&amp;IF(AND(COUNTIF($W$2:$W$1000,W41)+COUNTIF($X$2:$X$1000,W41)&gt;1,ISERROR(MATCH(IFERROR(INDEX(Connectors!$D$2:$D$1000,MATCH(D41,Connectors!$A$2:$A$1000,0)),""),{"SPLICE","STUD"},0))),"pino from com &gt;1 fio; ","")&amp;IF(AND(COUNTIF($W$2:$W$1000,X41)+COUNTIF($X$2:$X$1000,X41)&gt;1,ISERROR(MATCH(IFERROR(INDEX(Connectors!$D$2:$D$1000,MATCH(F41,Connectors!$A$2:$A$1000,0)),""),{"SPLICE","STUD"},0))),"pino to com &gt;1 fio; ","")&amp;IF(I41="","sem secção; ",""))</f>
        <v/>
      </c>
      <c r="W41" s="11">
        <f>IF(D41="","",D41&amp;":"&amp;E41&amp;IF(EXACT(E41,UPPER(E41)),"","|lc"))</f>
        <v/>
      </c>
      <c r="X41" s="11">
        <f>IF(F41="","",F41&amp;":"&amp;G41&amp;IF(EXACT(G41,UPPER(G41)),"","|lc"))</f>
        <v/>
      </c>
      <c r="Y41" s="9" t="n"/>
      <c r="Z41" s="9" t="n"/>
    </row>
    <row r="42">
      <c r="A42" s="12" t="inlineStr">
        <is>
          <t>W-DATABOX-041</t>
        </is>
      </c>
      <c r="B42" s="9" t="inlineStr">
        <is>
          <t>DATABOX</t>
        </is>
      </c>
      <c r="C42" s="9" t="inlineStr">
        <is>
          <t>BUTTON_OK</t>
        </is>
      </c>
      <c r="D42" s="9" t="inlineStr">
        <is>
          <t>DATABOX J1</t>
        </is>
      </c>
      <c r="E42" s="9" t="inlineStr">
        <is>
          <t>f</t>
        </is>
      </c>
      <c r="F42" s="9" t="inlineStr">
        <is>
          <t>RASPBERRY J6</t>
        </is>
      </c>
      <c r="G42" s="9" t="inlineStr">
        <is>
          <t>11 - GPIO 17</t>
        </is>
      </c>
      <c r="H42" s="9" t="inlineStr">
        <is>
          <t>WH</t>
        </is>
      </c>
      <c r="I42" s="10" t="n"/>
      <c r="J42" s="11">
        <f>IF(I42="","",IFERROR(INDEX(Lists!$F$3:$F$17,MATCH(I42,Lists!$E$3:$E$17,0)),"?"))</f>
        <v/>
      </c>
      <c r="K42" s="9" t="inlineStr">
        <is>
          <t>N</t>
        </is>
      </c>
      <c r="L42" s="9" t="inlineStr">
        <is>
          <t>3.3V</t>
        </is>
      </c>
      <c r="M42" s="10" t="n"/>
      <c r="N42" s="11">
        <f>IF(D42="","",IFERROR(INDEX(Connectors!$J$2:$J$1000,MATCH(D42,Connectors!$A$2:$A$1000,0))&amp;"",""))</f>
        <v/>
      </c>
      <c r="O42" s="11">
        <f>IF(F42="","",IFERROR(INDEX(Connectors!$J$2:$J$1000,MATCH(F42,Connectors!$A$2:$A$1000,0))&amp;"",""))</f>
        <v/>
      </c>
      <c r="P42" s="9" t="n"/>
      <c r="Q42" s="9" t="n"/>
      <c r="R42" s="10" t="n"/>
      <c r="S42" s="9" t="inlineStr">
        <is>
          <t>Button Ok Signal</t>
        </is>
      </c>
      <c r="T42" s="9" t="inlineStr">
        <is>
          <t>1 ponta (folha Raspberry Pi)</t>
        </is>
      </c>
      <c r="U42" s="12" t="inlineStr">
        <is>
          <t>I-12</t>
        </is>
      </c>
      <c r="V42" s="11">
        <f>IF(D42="","",IF(COUNTIF(Connectors!$A$2:$A$1000,D42)=0,"from_ref não existe; ","")&amp;IF(COUNTIF(Connectors!$A$2:$A$1000,F42)=0,"to_ref não existe; ","")&amp;IF(AND(H42&lt;&gt;"",COUNTIF(Lists!$A$3:$A$14,H42)=0),"cor inválida; ","")&amp;IF(H42="","sem cor; ","")&amp;IF((K42="Y")&lt;&gt;(H42="OG"),"HV e laranja não batem; ","")&amp;IF(AND(K42="Y",OR(IFERROR(INDEX(Connectors!$F$2:$F$1000,MATCH(D42,Connectors!$A$2:$A$1000,0)),"")&lt;&gt;"Y",IFERROR(INDEX(Connectors!$F$2:$F$1000,MATCH(F42,Connectors!$A$2:$A$1000,0)),"")&lt;&gt;"Y")),"fio HV em ficha não HV rated; ","")&amp;IF(AND(COUNTIF($W$2:$W$1000,W42)+COUNTIF($X$2:$X$1000,W42)&gt;1,ISERROR(MATCH(IFERROR(INDEX(Connectors!$D$2:$D$1000,MATCH(D42,Connectors!$A$2:$A$1000,0)),""),{"SPLICE","STUD"},0))),"pino from com &gt;1 fio; ","")&amp;IF(AND(COUNTIF($W$2:$W$1000,X42)+COUNTIF($X$2:$X$1000,X42)&gt;1,ISERROR(MATCH(IFERROR(INDEX(Connectors!$D$2:$D$1000,MATCH(F42,Connectors!$A$2:$A$1000,0)),""),{"SPLICE","STUD"},0))),"pino to com &gt;1 fio; ","")&amp;IF(I42="","sem secção; ",""))</f>
        <v/>
      </c>
      <c r="W42" s="11">
        <f>IF(D42="","",D42&amp;":"&amp;E42&amp;IF(EXACT(E42,UPPER(E42)),"","|lc"))</f>
        <v/>
      </c>
      <c r="X42" s="11">
        <f>IF(F42="","",F42&amp;":"&amp;G42&amp;IF(EXACT(G42,UPPER(G42)),"","|lc"))</f>
        <v/>
      </c>
      <c r="Y42" s="9" t="n"/>
      <c r="Z42" s="9" t="n"/>
    </row>
    <row r="43">
      <c r="A43" s="12" t="inlineStr">
        <is>
          <t>W-DATABOX-042</t>
        </is>
      </c>
      <c r="B43" s="9" t="inlineStr">
        <is>
          <t>DATABOX</t>
        </is>
      </c>
      <c r="C43" s="9" t="inlineStr">
        <is>
          <t>LED_PWM</t>
        </is>
      </c>
      <c r="D43" s="9" t="inlineStr">
        <is>
          <t>RASPBERRY J6</t>
        </is>
      </c>
      <c r="E43" s="9" t="inlineStr">
        <is>
          <t>12 - GPIO 18</t>
        </is>
      </c>
      <c r="F43" s="9" t="inlineStr">
        <is>
          <t>LED STRIP J1</t>
        </is>
      </c>
      <c r="G43" s="9" t="inlineStr">
        <is>
          <t>2</t>
        </is>
      </c>
      <c r="H43" s="9" t="inlineStr">
        <is>
          <t>WH</t>
        </is>
      </c>
      <c r="I43" s="10" t="n"/>
      <c r="J43" s="11">
        <f>IF(I43="","",IFERROR(INDEX(Lists!$F$3:$F$17,MATCH(I43,Lists!$E$3:$E$17,0)),"?"))</f>
        <v/>
      </c>
      <c r="K43" s="9" t="inlineStr">
        <is>
          <t>N</t>
        </is>
      </c>
      <c r="L43" s="9" t="inlineStr">
        <is>
          <t>3.3V</t>
        </is>
      </c>
      <c r="M43" s="10" t="n"/>
      <c r="N43" s="11">
        <f>IF(D43="","",IFERROR(INDEX(Connectors!$J$2:$J$1000,MATCH(D43,Connectors!$A$2:$A$1000,0))&amp;"",""))</f>
        <v/>
      </c>
      <c r="O43" s="11">
        <f>IF(F43="","",IFERROR(INDEX(Connectors!$J$2:$J$1000,MATCH(F43,Connectors!$A$2:$A$1000,0))&amp;"",""))</f>
        <v/>
      </c>
      <c r="P43" s="9" t="n"/>
      <c r="Q43" s="9" t="n"/>
      <c r="R43" s="10" t="n"/>
      <c r="S43" s="9" t="inlineStr">
        <is>
          <t>LED Strip Control</t>
        </is>
      </c>
      <c r="T43" s="9" t="inlineStr">
        <is>
          <t>1 ponta (folha Raspberry Pi)</t>
        </is>
      </c>
      <c r="U43" s="12" t="inlineStr">
        <is>
          <t>I-13</t>
        </is>
      </c>
      <c r="V43" s="11">
        <f>IF(D43="","",IF(COUNTIF(Connectors!$A$2:$A$1000,D43)=0,"from_ref não existe; ","")&amp;IF(COUNTIF(Connectors!$A$2:$A$1000,F43)=0,"to_ref não existe; ","")&amp;IF(AND(H43&lt;&gt;"",COUNTIF(Lists!$A$3:$A$14,H43)=0),"cor inválida; ","")&amp;IF(H43="","sem cor; ","")&amp;IF((K43="Y")&lt;&gt;(H43="OG"),"HV e laranja não batem; ","")&amp;IF(AND(K43="Y",OR(IFERROR(INDEX(Connectors!$F$2:$F$1000,MATCH(D43,Connectors!$A$2:$A$1000,0)),"")&lt;&gt;"Y",IFERROR(INDEX(Connectors!$F$2:$F$1000,MATCH(F43,Connectors!$A$2:$A$1000,0)),"")&lt;&gt;"Y")),"fio HV em ficha não HV rated; ","")&amp;IF(AND(COUNTIF($W$2:$W$1000,W43)+COUNTIF($X$2:$X$1000,W43)&gt;1,ISERROR(MATCH(IFERROR(INDEX(Connectors!$D$2:$D$1000,MATCH(D43,Connectors!$A$2:$A$1000,0)),""),{"SPLICE","STUD"},0))),"pino from com &gt;1 fio; ","")&amp;IF(AND(COUNTIF($W$2:$W$1000,X43)+COUNTIF($X$2:$X$1000,X43)&gt;1,ISERROR(MATCH(IFERROR(INDEX(Connectors!$D$2:$D$1000,MATCH(F43,Connectors!$A$2:$A$1000,0)),""),{"SPLICE","STUD"},0))),"pino to com &gt;1 fio; ","")&amp;IF(I43="","sem secção; ",""))</f>
        <v/>
      </c>
      <c r="W43" s="11">
        <f>IF(D43="","",D43&amp;":"&amp;E43&amp;IF(EXACT(E43,UPPER(E43)),"","|lc"))</f>
        <v/>
      </c>
      <c r="X43" s="11">
        <f>IF(F43="","",F43&amp;":"&amp;G43&amp;IF(EXACT(G43,UPPER(G43)),"","|lc"))</f>
        <v/>
      </c>
      <c r="Y43" s="9" t="n"/>
      <c r="Z43" s="9" t="n"/>
    </row>
    <row r="44">
      <c r="A44" s="9" t="inlineStr">
        <is>
          <t>W-DATABOX-043</t>
        </is>
      </c>
      <c r="B44" s="9" t="inlineStr">
        <is>
          <t>DATABOX</t>
        </is>
      </c>
      <c r="C44" s="9" t="inlineStr">
        <is>
          <t>BUTTON_NEXT_PAGE</t>
        </is>
      </c>
      <c r="D44" s="9" t="inlineStr">
        <is>
          <t>DATABOX J1</t>
        </is>
      </c>
      <c r="E44" s="9" t="inlineStr">
        <is>
          <t>g</t>
        </is>
      </c>
      <c r="F44" s="9" t="inlineStr">
        <is>
          <t>RASPBERRY J6</t>
        </is>
      </c>
      <c r="G44" s="9" t="inlineStr">
        <is>
          <t>13 - GPIO 27</t>
        </is>
      </c>
      <c r="H44" s="9" t="inlineStr">
        <is>
          <t>WH</t>
        </is>
      </c>
      <c r="I44" s="10" t="n"/>
      <c r="J44" s="11">
        <f>IF(I44="","",IFERROR(INDEX(Lists!$F$3:$F$17,MATCH(I44,Lists!$E$3:$E$17,0)),"?"))</f>
        <v/>
      </c>
      <c r="K44" s="9" t="inlineStr">
        <is>
          <t>N</t>
        </is>
      </c>
      <c r="L44" s="9" t="inlineStr">
        <is>
          <t>3.3V</t>
        </is>
      </c>
      <c r="M44" s="10" t="n"/>
      <c r="N44" s="11">
        <f>IF(D44="","",IFERROR(INDEX(Connectors!$J$2:$J$1000,MATCH(D44,Connectors!$A$2:$A$1000,0))&amp;"",""))</f>
        <v/>
      </c>
      <c r="O44" s="11">
        <f>IF(F44="","",IFERROR(INDEX(Connectors!$J$2:$J$1000,MATCH(F44,Connectors!$A$2:$A$1000,0))&amp;"",""))</f>
        <v/>
      </c>
      <c r="P44" s="9" t="n"/>
      <c r="Q44" s="9" t="n"/>
      <c r="R44" s="10" t="n"/>
      <c r="S44" s="9" t="inlineStr">
        <is>
          <t>Button Next Page Signal</t>
        </is>
      </c>
      <c r="T44" s="9" t="inlineStr">
        <is>
          <t>1 ponta (folha Raspberry Pi)</t>
        </is>
      </c>
      <c r="U44" s="9" t="n"/>
      <c r="V44" s="11">
        <f>IF(D44="","",IF(COUNTIF(Connectors!$A$2:$A$1000,D44)=0,"from_ref não existe; ","")&amp;IF(COUNTIF(Connectors!$A$2:$A$1000,F44)=0,"to_ref não existe; ","")&amp;IF(AND(H44&lt;&gt;"",COUNTIF(Lists!$A$3:$A$14,H44)=0),"cor inválida; ","")&amp;IF(H44="","sem cor; ","")&amp;IF((K44="Y")&lt;&gt;(H44="OG"),"HV e laranja não batem; ","")&amp;IF(AND(K44="Y",OR(IFERROR(INDEX(Connectors!$F$2:$F$1000,MATCH(D44,Connectors!$A$2:$A$1000,0)),"")&lt;&gt;"Y",IFERROR(INDEX(Connectors!$F$2:$F$1000,MATCH(F44,Connectors!$A$2:$A$1000,0)),"")&lt;&gt;"Y")),"fio HV em ficha não HV rated; ","")&amp;IF(AND(COUNTIF($W$2:$W$1000,W44)+COUNTIF($X$2:$X$1000,W44)&gt;1,ISERROR(MATCH(IFERROR(INDEX(Connectors!$D$2:$D$1000,MATCH(D44,Connectors!$A$2:$A$1000,0)),""),{"SPLICE","STUD"},0))),"pino from com &gt;1 fio; ","")&amp;IF(AND(COUNTIF($W$2:$W$1000,X44)+COUNTIF($X$2:$X$1000,X44)&gt;1,ISERROR(MATCH(IFERROR(INDEX(Connectors!$D$2:$D$1000,MATCH(F44,Connectors!$A$2:$A$1000,0)),""),{"SPLICE","STUD"},0))),"pino to com &gt;1 fio; ","")&amp;IF(I44="","sem secção; ",""))</f>
        <v/>
      </c>
      <c r="W44" s="11">
        <f>IF(D44="","",D44&amp;":"&amp;E44&amp;IF(EXACT(E44,UPPER(E44)),"","|lc"))</f>
        <v/>
      </c>
      <c r="X44" s="11">
        <f>IF(F44="","",F44&amp;":"&amp;G44&amp;IF(EXACT(G44,UPPER(G44)),"","|lc"))</f>
        <v/>
      </c>
      <c r="Y44" s="9" t="n"/>
      <c r="Z44" s="9" t="n"/>
    </row>
    <row r="45">
      <c r="A45" s="12" t="inlineStr">
        <is>
          <t>W-DATABOX-044</t>
        </is>
      </c>
      <c r="B45" s="9" t="inlineStr">
        <is>
          <t>DATABOX</t>
        </is>
      </c>
      <c r="C45" s="9" t="inlineStr">
        <is>
          <t>ENCODER_A_DATA</t>
        </is>
      </c>
      <c r="D45" s="9" t="inlineStr">
        <is>
          <t>DATABOX J1</t>
        </is>
      </c>
      <c r="E45" s="9" t="inlineStr">
        <is>
          <t>X</t>
        </is>
      </c>
      <c r="F45" s="9" t="inlineStr">
        <is>
          <t>RASPBERRY J6</t>
        </is>
      </c>
      <c r="G45" s="9" t="inlineStr">
        <is>
          <t>16 - GPIO 23</t>
        </is>
      </c>
      <c r="H45" s="9" t="inlineStr">
        <is>
          <t>WH</t>
        </is>
      </c>
      <c r="I45" s="10" t="n"/>
      <c r="J45" s="11">
        <f>IF(I45="","",IFERROR(INDEX(Lists!$F$3:$F$17,MATCH(I45,Lists!$E$3:$E$17,0)),"?"))</f>
        <v/>
      </c>
      <c r="K45" s="9" t="inlineStr">
        <is>
          <t>N</t>
        </is>
      </c>
      <c r="L45" s="9" t="inlineStr">
        <is>
          <t>5V</t>
        </is>
      </c>
      <c r="M45" s="10" t="n"/>
      <c r="N45" s="11">
        <f>IF(D45="","",IFERROR(INDEX(Connectors!$J$2:$J$1000,MATCH(D45,Connectors!$A$2:$A$1000,0))&amp;"",""))</f>
        <v/>
      </c>
      <c r="O45" s="11">
        <f>IF(F45="","",IFERROR(INDEX(Connectors!$J$2:$J$1000,MATCH(F45,Connectors!$A$2:$A$1000,0))&amp;"",""))</f>
        <v/>
      </c>
      <c r="P45" s="9" t="n"/>
      <c r="Q45" s="9" t="n"/>
      <c r="R45" s="10" t="n"/>
      <c r="S45" s="9" t="inlineStr">
        <is>
          <t>Rotory Encoder A Data Signal</t>
        </is>
      </c>
      <c r="T45" s="9" t="inlineStr">
        <is>
          <t>1 ponta (folha Raspberry Pi)</t>
        </is>
      </c>
      <c r="U45" s="12" t="inlineStr">
        <is>
          <t>I-14</t>
        </is>
      </c>
      <c r="V45" s="11">
        <f>IF(D45="","",IF(COUNTIF(Connectors!$A$2:$A$1000,D45)=0,"from_ref não existe; ","")&amp;IF(COUNTIF(Connectors!$A$2:$A$1000,F45)=0,"to_ref não existe; ","")&amp;IF(AND(H45&lt;&gt;"",COUNTIF(Lists!$A$3:$A$14,H45)=0),"cor inválida; ","")&amp;IF(H45="","sem cor; ","")&amp;IF((K45="Y")&lt;&gt;(H45="OG"),"HV e laranja não batem; ","")&amp;IF(AND(K45="Y",OR(IFERROR(INDEX(Connectors!$F$2:$F$1000,MATCH(D45,Connectors!$A$2:$A$1000,0)),"")&lt;&gt;"Y",IFERROR(INDEX(Connectors!$F$2:$F$1000,MATCH(F45,Connectors!$A$2:$A$1000,0)),"")&lt;&gt;"Y")),"fio HV em ficha não HV rated; ","")&amp;IF(AND(COUNTIF($W$2:$W$1000,W45)+COUNTIF($X$2:$X$1000,W45)&gt;1,ISERROR(MATCH(IFERROR(INDEX(Connectors!$D$2:$D$1000,MATCH(D45,Connectors!$A$2:$A$1000,0)),""),{"SPLICE","STUD"},0))),"pino from com &gt;1 fio; ","")&amp;IF(AND(COUNTIF($W$2:$W$1000,X45)+COUNTIF($X$2:$X$1000,X45)&gt;1,ISERROR(MATCH(IFERROR(INDEX(Connectors!$D$2:$D$1000,MATCH(F45,Connectors!$A$2:$A$1000,0)),""),{"SPLICE","STUD"},0))),"pino to com &gt;1 fio; ","")&amp;IF(I45="","sem secção; ",""))</f>
        <v/>
      </c>
      <c r="W45" s="11">
        <f>IF(D45="","",D45&amp;":"&amp;E45&amp;IF(EXACT(E45,UPPER(E45)),"","|lc"))</f>
        <v/>
      </c>
      <c r="X45" s="11">
        <f>IF(F45="","",F45&amp;":"&amp;G45&amp;IF(EXACT(G45,UPPER(G45)),"","|lc"))</f>
        <v/>
      </c>
      <c r="Y45" s="9" t="n"/>
      <c r="Z45" s="9" t="n"/>
    </row>
    <row r="46">
      <c r="A46" s="12" t="inlineStr">
        <is>
          <t>W-DATABOX-045</t>
        </is>
      </c>
      <c r="B46" s="9" t="inlineStr">
        <is>
          <t>DATABOX</t>
        </is>
      </c>
      <c r="C46" s="9" t="inlineStr">
        <is>
          <t>BUTTONS_POWER</t>
        </is>
      </c>
      <c r="D46" s="9" t="inlineStr">
        <is>
          <t>DATABOX J1</t>
        </is>
      </c>
      <c r="E46" s="9" t="inlineStr">
        <is>
          <t>e</t>
        </is>
      </c>
      <c r="F46" s="9" t="inlineStr">
        <is>
          <t>RASPBERRY J6</t>
        </is>
      </c>
      <c r="G46" s="9" t="inlineStr">
        <is>
          <t>17 - 3,3V</t>
        </is>
      </c>
      <c r="H46" s="9" t="inlineStr">
        <is>
          <t>WH</t>
        </is>
      </c>
      <c r="I46" s="10" t="n"/>
      <c r="J46" s="11">
        <f>IF(I46="","",IFERROR(INDEX(Lists!$F$3:$F$17,MATCH(I46,Lists!$E$3:$E$17,0)),"?"))</f>
        <v/>
      </c>
      <c r="K46" s="9" t="inlineStr">
        <is>
          <t>N</t>
        </is>
      </c>
      <c r="L46" s="9" t="inlineStr">
        <is>
          <t>3.3V</t>
        </is>
      </c>
      <c r="M46" s="10" t="n"/>
      <c r="N46" s="11">
        <f>IF(D46="","",IFERROR(INDEX(Connectors!$J$2:$J$1000,MATCH(D46,Connectors!$A$2:$A$1000,0))&amp;"",""))</f>
        <v/>
      </c>
      <c r="O46" s="11">
        <f>IF(F46="","",IFERROR(INDEX(Connectors!$J$2:$J$1000,MATCH(F46,Connectors!$A$2:$A$1000,0))&amp;"",""))</f>
        <v/>
      </c>
      <c r="P46" s="9" t="n"/>
      <c r="Q46" s="9" t="n"/>
      <c r="R46" s="10" t="n"/>
      <c r="S46" s="9" t="inlineStr">
        <is>
          <t>Supply Voltage for Buttons in Steering Wheel</t>
        </is>
      </c>
      <c r="T46" s="9" t="inlineStr">
        <is>
          <t>1 ponta (folha Raspberry Pi)</t>
        </is>
      </c>
      <c r="U46" s="12" t="inlineStr">
        <is>
          <t>I-15</t>
        </is>
      </c>
      <c r="V46" s="11">
        <f>IF(D46="","",IF(COUNTIF(Connectors!$A$2:$A$1000,D46)=0,"from_ref não existe; ","")&amp;IF(COUNTIF(Connectors!$A$2:$A$1000,F46)=0,"to_ref não existe; ","")&amp;IF(AND(H46&lt;&gt;"",COUNTIF(Lists!$A$3:$A$14,H46)=0),"cor inválida; ","")&amp;IF(H46="","sem cor; ","")&amp;IF((K46="Y")&lt;&gt;(H46="OG"),"HV e laranja não batem; ","")&amp;IF(AND(K46="Y",OR(IFERROR(INDEX(Connectors!$F$2:$F$1000,MATCH(D46,Connectors!$A$2:$A$1000,0)),"")&lt;&gt;"Y",IFERROR(INDEX(Connectors!$F$2:$F$1000,MATCH(F46,Connectors!$A$2:$A$1000,0)),"")&lt;&gt;"Y")),"fio HV em ficha não HV rated; ","")&amp;IF(AND(COUNTIF($W$2:$W$1000,W46)+COUNTIF($X$2:$X$1000,W46)&gt;1,ISERROR(MATCH(IFERROR(INDEX(Connectors!$D$2:$D$1000,MATCH(D46,Connectors!$A$2:$A$1000,0)),""),{"SPLICE","STUD"},0))),"pino from com &gt;1 fio; ","")&amp;IF(AND(COUNTIF($W$2:$W$1000,X46)+COUNTIF($X$2:$X$1000,X46)&gt;1,ISERROR(MATCH(IFERROR(INDEX(Connectors!$D$2:$D$1000,MATCH(F46,Connectors!$A$2:$A$1000,0)),""),{"SPLICE","STUD"},0))),"pino to com &gt;1 fio; ","")&amp;IF(I46="","sem secção; ",""))</f>
        <v/>
      </c>
      <c r="W46" s="11">
        <f>IF(D46="","",D46&amp;":"&amp;E46&amp;IF(EXACT(E46,UPPER(E46)),"","|lc"))</f>
        <v/>
      </c>
      <c r="X46" s="11">
        <f>IF(F46="","",F46&amp;":"&amp;G46&amp;IF(EXACT(G46,UPPER(G46)),"","|lc"))</f>
        <v/>
      </c>
      <c r="Y46" s="9" t="n"/>
      <c r="Z46" s="9" t="n"/>
    </row>
    <row r="47">
      <c r="A47" s="12" t="inlineStr">
        <is>
          <t>W-DATABOX-046</t>
        </is>
      </c>
      <c r="B47" s="9" t="inlineStr">
        <is>
          <t>DATABOX</t>
        </is>
      </c>
      <c r="C47" s="9" t="inlineStr">
        <is>
          <t>ENCODER_B_CLK</t>
        </is>
      </c>
      <c r="D47" s="9" t="inlineStr">
        <is>
          <t>DATABOX J1</t>
        </is>
      </c>
      <c r="E47" s="9" t="inlineStr">
        <is>
          <t>c</t>
        </is>
      </c>
      <c r="F47" s="9" t="inlineStr">
        <is>
          <t>RASPBERRY J6</t>
        </is>
      </c>
      <c r="G47" s="9" t="inlineStr">
        <is>
          <t>18 - GPIO 24</t>
        </is>
      </c>
      <c r="H47" s="9" t="inlineStr">
        <is>
          <t>BU</t>
        </is>
      </c>
      <c r="I47" s="10" t="n"/>
      <c r="J47" s="11">
        <f>IF(I47="","",IFERROR(INDEX(Lists!$F$3:$F$17,MATCH(I47,Lists!$E$3:$E$17,0)),"?"))</f>
        <v/>
      </c>
      <c r="K47" s="9" t="inlineStr">
        <is>
          <t>N</t>
        </is>
      </c>
      <c r="L47" s="9" t="inlineStr">
        <is>
          <t>5V</t>
        </is>
      </c>
      <c r="M47" s="10" t="n"/>
      <c r="N47" s="11">
        <f>IF(D47="","",IFERROR(INDEX(Connectors!$J$2:$J$1000,MATCH(D47,Connectors!$A$2:$A$1000,0))&amp;"",""))</f>
        <v/>
      </c>
      <c r="O47" s="11">
        <f>IF(F47="","",IFERROR(INDEX(Connectors!$J$2:$J$1000,MATCH(F47,Connectors!$A$2:$A$1000,0))&amp;"",""))</f>
        <v/>
      </c>
      <c r="P47" s="9" t="n"/>
      <c r="Q47" s="9" t="n"/>
      <c r="R47" s="10" t="n"/>
      <c r="S47" s="9" t="inlineStr">
        <is>
          <t>Rotory Encoder C Clock Signal</t>
        </is>
      </c>
      <c r="T47" s="9" t="inlineStr">
        <is>
          <t>1 ponta (folha Raspberry Pi)</t>
        </is>
      </c>
      <c r="U47" s="12" t="inlineStr">
        <is>
          <t>I-16</t>
        </is>
      </c>
      <c r="V47" s="11">
        <f>IF(D47="","",IF(COUNTIF(Connectors!$A$2:$A$1000,D47)=0,"from_ref não existe; ","")&amp;IF(COUNTIF(Connectors!$A$2:$A$1000,F47)=0,"to_ref não existe; ","")&amp;IF(AND(H47&lt;&gt;"",COUNTIF(Lists!$A$3:$A$14,H47)=0),"cor inválida; ","")&amp;IF(H47="","sem cor; ","")&amp;IF((K47="Y")&lt;&gt;(H47="OG"),"HV e laranja não batem; ","")&amp;IF(AND(K47="Y",OR(IFERROR(INDEX(Connectors!$F$2:$F$1000,MATCH(D47,Connectors!$A$2:$A$1000,0)),"")&lt;&gt;"Y",IFERROR(INDEX(Connectors!$F$2:$F$1000,MATCH(F47,Connectors!$A$2:$A$1000,0)),"")&lt;&gt;"Y")),"fio HV em ficha não HV rated; ","")&amp;IF(AND(COUNTIF($W$2:$W$1000,W47)+COUNTIF($X$2:$X$1000,W47)&gt;1,ISERROR(MATCH(IFERROR(INDEX(Connectors!$D$2:$D$1000,MATCH(D47,Connectors!$A$2:$A$1000,0)),""),{"SPLICE","STUD"},0))),"pino from com &gt;1 fio; ","")&amp;IF(AND(COUNTIF($W$2:$W$1000,X47)+COUNTIF($X$2:$X$1000,X47)&gt;1,ISERROR(MATCH(IFERROR(INDEX(Connectors!$D$2:$D$1000,MATCH(F47,Connectors!$A$2:$A$1000,0)),""),{"SPLICE","STUD"},0))),"pino to com &gt;1 fio; ","")&amp;IF(I47="","sem secção; ",""))</f>
        <v/>
      </c>
      <c r="W47" s="11">
        <f>IF(D47="","",D47&amp;":"&amp;E47&amp;IF(EXACT(E47,UPPER(E47)),"","|lc"))</f>
        <v/>
      </c>
      <c r="X47" s="11">
        <f>IF(F47="","",F47&amp;":"&amp;G47&amp;IF(EXACT(G47,UPPER(G47)),"","|lc"))</f>
        <v/>
      </c>
      <c r="Y47" s="9" t="n"/>
      <c r="Z47" s="9" t="n"/>
    </row>
    <row r="48">
      <c r="A48" s="12" t="inlineStr">
        <is>
          <t>W-DATABOX-047</t>
        </is>
      </c>
      <c r="B48" s="9" t="inlineStr">
        <is>
          <t>DATABOX</t>
        </is>
      </c>
      <c r="C48" s="9" t="inlineStr">
        <is>
          <t>LED_STRIP_GND</t>
        </is>
      </c>
      <c r="D48" s="9" t="inlineStr">
        <is>
          <t>RASPBERRY J6</t>
        </is>
      </c>
      <c r="E48" s="9" t="inlineStr">
        <is>
          <t>20 - GND</t>
        </is>
      </c>
      <c r="F48" s="9" t="inlineStr">
        <is>
          <t>LED STRIP J1</t>
        </is>
      </c>
      <c r="G48" s="9" t="inlineStr">
        <is>
          <t>3</t>
        </is>
      </c>
      <c r="H48" s="10" t="n"/>
      <c r="I48" s="10" t="n"/>
      <c r="J48" s="11">
        <f>IF(I48="","",IFERROR(INDEX(Lists!$F$3:$F$17,MATCH(I48,Lists!$E$3:$E$17,0)),"?"))</f>
        <v/>
      </c>
      <c r="K48" s="9" t="inlineStr">
        <is>
          <t>N</t>
        </is>
      </c>
      <c r="L48" s="9" t="inlineStr">
        <is>
          <t>0V</t>
        </is>
      </c>
      <c r="M48" s="10" t="n"/>
      <c r="N48" s="11">
        <f>IF(D48="","",IFERROR(INDEX(Connectors!$J$2:$J$1000,MATCH(D48,Connectors!$A$2:$A$1000,0))&amp;"",""))</f>
        <v/>
      </c>
      <c r="O48" s="11">
        <f>IF(F48="","",IFERROR(INDEX(Connectors!$J$2:$J$1000,MATCH(F48,Connectors!$A$2:$A$1000,0))&amp;"",""))</f>
        <v/>
      </c>
      <c r="P48" s="9" t="n"/>
      <c r="Q48" s="9" t="n"/>
      <c r="R48" s="10" t="n"/>
      <c r="S48" s="9" t="inlineStr">
        <is>
          <t>LED STRIP Ground</t>
        </is>
      </c>
      <c r="T48" s="9" t="inlineStr">
        <is>
          <t>1 ponta (folha Raspberry Pi)</t>
        </is>
      </c>
      <c r="U48" s="12" t="inlineStr">
        <is>
          <t>I-17</t>
        </is>
      </c>
      <c r="V48" s="11">
        <f>IF(D48="","",IF(COUNTIF(Connectors!$A$2:$A$1000,D48)=0,"from_ref não existe; ","")&amp;IF(COUNTIF(Connectors!$A$2:$A$1000,F48)=0,"to_ref não existe; ","")&amp;IF(AND(H48&lt;&gt;"",COUNTIF(Lists!$A$3:$A$14,H48)=0),"cor inválida; ","")&amp;IF(H48="","sem cor; ","")&amp;IF((K48="Y")&lt;&gt;(H48="OG"),"HV e laranja não batem; ","")&amp;IF(AND(K48="Y",OR(IFERROR(INDEX(Connectors!$F$2:$F$1000,MATCH(D48,Connectors!$A$2:$A$1000,0)),"")&lt;&gt;"Y",IFERROR(INDEX(Connectors!$F$2:$F$1000,MATCH(F48,Connectors!$A$2:$A$1000,0)),"")&lt;&gt;"Y")),"fio HV em ficha não HV rated; ","")&amp;IF(AND(COUNTIF($W$2:$W$1000,W48)+COUNTIF($X$2:$X$1000,W48)&gt;1,ISERROR(MATCH(IFERROR(INDEX(Connectors!$D$2:$D$1000,MATCH(D48,Connectors!$A$2:$A$1000,0)),""),{"SPLICE","STUD"},0))),"pino from com &gt;1 fio; ","")&amp;IF(AND(COUNTIF($W$2:$W$1000,X48)+COUNTIF($X$2:$X$1000,X48)&gt;1,ISERROR(MATCH(IFERROR(INDEX(Connectors!$D$2:$D$1000,MATCH(F48,Connectors!$A$2:$A$1000,0)),""),{"SPLICE","STUD"},0))),"pino to com &gt;1 fio; ","")&amp;IF(I48="","sem secção; ",""))</f>
        <v/>
      </c>
      <c r="W48" s="11">
        <f>IF(D48="","",D48&amp;":"&amp;E48&amp;IF(EXACT(E48,UPPER(E48)),"","|lc"))</f>
        <v/>
      </c>
      <c r="X48" s="11">
        <f>IF(F48="","",F48&amp;":"&amp;G48&amp;IF(EXACT(G48,UPPER(G48)),"","|lc"))</f>
        <v/>
      </c>
      <c r="Y48" s="9" t="n"/>
      <c r="Z48" s="9" t="n"/>
    </row>
    <row r="49">
      <c r="A49" s="12" t="inlineStr">
        <is>
          <t>W-DATABOX-048</t>
        </is>
      </c>
      <c r="B49" s="9" t="inlineStr">
        <is>
          <t>DATABOX</t>
        </is>
      </c>
      <c r="C49" s="9" t="inlineStr">
        <is>
          <t>ENCODER_B_DATA</t>
        </is>
      </c>
      <c r="D49" s="9" t="inlineStr">
        <is>
          <t>DATABOX J1</t>
        </is>
      </c>
      <c r="E49" s="9" t="inlineStr">
        <is>
          <t>b</t>
        </is>
      </c>
      <c r="F49" s="9" t="inlineStr">
        <is>
          <t>RASPBERRY J6</t>
        </is>
      </c>
      <c r="G49" s="9" t="inlineStr">
        <is>
          <t>22 - GPIO 25</t>
        </is>
      </c>
      <c r="H49" s="9" t="inlineStr">
        <is>
          <t>WH</t>
        </is>
      </c>
      <c r="I49" s="10" t="n"/>
      <c r="J49" s="11">
        <f>IF(I49="","",IFERROR(INDEX(Lists!$F$3:$F$17,MATCH(I49,Lists!$E$3:$E$17,0)),"?"))</f>
        <v/>
      </c>
      <c r="K49" s="9" t="inlineStr">
        <is>
          <t>N</t>
        </is>
      </c>
      <c r="L49" s="9" t="inlineStr">
        <is>
          <t>5V</t>
        </is>
      </c>
      <c r="M49" s="10" t="n"/>
      <c r="N49" s="11">
        <f>IF(D49="","",IFERROR(INDEX(Connectors!$J$2:$J$1000,MATCH(D49,Connectors!$A$2:$A$1000,0))&amp;"",""))</f>
        <v/>
      </c>
      <c r="O49" s="11">
        <f>IF(F49="","",IFERROR(INDEX(Connectors!$J$2:$J$1000,MATCH(F49,Connectors!$A$2:$A$1000,0))&amp;"",""))</f>
        <v/>
      </c>
      <c r="P49" s="9" t="n"/>
      <c r="Q49" s="9" t="n"/>
      <c r="R49" s="10" t="n"/>
      <c r="S49" s="9" t="inlineStr">
        <is>
          <t>Rotory Encoder B Data Signal</t>
        </is>
      </c>
      <c r="T49" s="9" t="inlineStr">
        <is>
          <t>1 ponta (folha Raspberry Pi)</t>
        </is>
      </c>
      <c r="U49" s="12" t="inlineStr">
        <is>
          <t>I-18</t>
        </is>
      </c>
      <c r="V49" s="11">
        <f>IF(D49="","",IF(COUNTIF(Connectors!$A$2:$A$1000,D49)=0,"from_ref não existe; ","")&amp;IF(COUNTIF(Connectors!$A$2:$A$1000,F49)=0,"to_ref não existe; ","")&amp;IF(AND(H49&lt;&gt;"",COUNTIF(Lists!$A$3:$A$14,H49)=0),"cor inválida; ","")&amp;IF(H49="","sem cor; ","")&amp;IF((K49="Y")&lt;&gt;(H49="OG"),"HV e laranja não batem; ","")&amp;IF(AND(K49="Y",OR(IFERROR(INDEX(Connectors!$F$2:$F$1000,MATCH(D49,Connectors!$A$2:$A$1000,0)),"")&lt;&gt;"Y",IFERROR(INDEX(Connectors!$F$2:$F$1000,MATCH(F49,Connectors!$A$2:$A$1000,0)),"")&lt;&gt;"Y")),"fio HV em ficha não HV rated; ","")&amp;IF(AND(COUNTIF($W$2:$W$1000,W49)+COUNTIF($X$2:$X$1000,W49)&gt;1,ISERROR(MATCH(IFERROR(INDEX(Connectors!$D$2:$D$1000,MATCH(D49,Connectors!$A$2:$A$1000,0)),""),{"SPLICE","STUD"},0))),"pino from com &gt;1 fio; ","")&amp;IF(AND(COUNTIF($W$2:$W$1000,X49)+COUNTIF($X$2:$X$1000,X49)&gt;1,ISERROR(MATCH(IFERROR(INDEX(Connectors!$D$2:$D$1000,MATCH(F49,Connectors!$A$2:$A$1000,0)),""),{"SPLICE","STUD"},0))),"pino to com &gt;1 fio; ","")&amp;IF(I49="","sem secção; ",""))</f>
        <v/>
      </c>
      <c r="W49" s="11">
        <f>IF(D49="","",D49&amp;":"&amp;E49&amp;IF(EXACT(E49,UPPER(E49)),"","|lc"))</f>
        <v/>
      </c>
      <c r="X49" s="11">
        <f>IF(F49="","",F49&amp;":"&amp;G49&amp;IF(EXACT(G49,UPPER(G49)),"","|lc"))</f>
        <v/>
      </c>
      <c r="Y49" s="9" t="n"/>
      <c r="Z49" s="9" t="n"/>
    </row>
    <row r="50">
      <c r="A50" s="12" t="inlineStr">
        <is>
          <t>W-DATABOX-049</t>
        </is>
      </c>
      <c r="B50" s="9" t="inlineStr">
        <is>
          <t>DATABOX</t>
        </is>
      </c>
      <c r="C50" s="9" t="inlineStr">
        <is>
          <t>ENCODER_A_CLK</t>
        </is>
      </c>
      <c r="D50" s="9" t="inlineStr">
        <is>
          <t>DATABOX J1</t>
        </is>
      </c>
      <c r="E50" s="9" t="inlineStr">
        <is>
          <t>Y</t>
        </is>
      </c>
      <c r="F50" s="9" t="inlineStr">
        <is>
          <t>RASPBERRY J6</t>
        </is>
      </c>
      <c r="G50" s="9" t="inlineStr">
        <is>
          <t>29 - GPIO 5</t>
        </is>
      </c>
      <c r="H50" s="9" t="inlineStr">
        <is>
          <t>BU</t>
        </is>
      </c>
      <c r="I50" s="10" t="n"/>
      <c r="J50" s="11">
        <f>IF(I50="","",IFERROR(INDEX(Lists!$F$3:$F$17,MATCH(I50,Lists!$E$3:$E$17,0)),"?"))</f>
        <v/>
      </c>
      <c r="K50" s="9" t="inlineStr">
        <is>
          <t>N</t>
        </is>
      </c>
      <c r="L50" s="9" t="inlineStr">
        <is>
          <t>5V</t>
        </is>
      </c>
      <c r="M50" s="10" t="n"/>
      <c r="N50" s="11">
        <f>IF(D50="","",IFERROR(INDEX(Connectors!$J$2:$J$1000,MATCH(D50,Connectors!$A$2:$A$1000,0))&amp;"",""))</f>
        <v/>
      </c>
      <c r="O50" s="11">
        <f>IF(F50="","",IFERROR(INDEX(Connectors!$J$2:$J$1000,MATCH(F50,Connectors!$A$2:$A$1000,0))&amp;"",""))</f>
        <v/>
      </c>
      <c r="P50" s="9" t="n"/>
      <c r="Q50" s="9" t="n"/>
      <c r="R50" s="10" t="n"/>
      <c r="S50" s="9" t="inlineStr">
        <is>
          <t>Rotory Encoder A Clock Signal</t>
        </is>
      </c>
      <c r="T50" s="9" t="inlineStr">
        <is>
          <t>1 ponta (folha Raspberry Pi)</t>
        </is>
      </c>
      <c r="U50" s="12" t="inlineStr">
        <is>
          <t>I-19</t>
        </is>
      </c>
      <c r="V50" s="11">
        <f>IF(D50="","",IF(COUNTIF(Connectors!$A$2:$A$1000,D50)=0,"from_ref não existe; ","")&amp;IF(COUNTIF(Connectors!$A$2:$A$1000,F50)=0,"to_ref não existe; ","")&amp;IF(AND(H50&lt;&gt;"",COUNTIF(Lists!$A$3:$A$14,H50)=0),"cor inválida; ","")&amp;IF(H50="","sem cor; ","")&amp;IF((K50="Y")&lt;&gt;(H50="OG"),"HV e laranja não batem; ","")&amp;IF(AND(K50="Y",OR(IFERROR(INDEX(Connectors!$F$2:$F$1000,MATCH(D50,Connectors!$A$2:$A$1000,0)),"")&lt;&gt;"Y",IFERROR(INDEX(Connectors!$F$2:$F$1000,MATCH(F50,Connectors!$A$2:$A$1000,0)),"")&lt;&gt;"Y")),"fio HV em ficha não HV rated; ","")&amp;IF(AND(COUNTIF($W$2:$W$1000,W50)+COUNTIF($X$2:$X$1000,W50)&gt;1,ISERROR(MATCH(IFERROR(INDEX(Connectors!$D$2:$D$1000,MATCH(D50,Connectors!$A$2:$A$1000,0)),""),{"SPLICE","STUD"},0))),"pino from com &gt;1 fio; ","")&amp;IF(AND(COUNTIF($W$2:$W$1000,X50)+COUNTIF($X$2:$X$1000,X50)&gt;1,ISERROR(MATCH(IFERROR(INDEX(Connectors!$D$2:$D$1000,MATCH(F50,Connectors!$A$2:$A$1000,0)),""),{"SPLICE","STUD"},0))),"pino to com &gt;1 fio; ","")&amp;IF(I50="","sem secção; ",""))</f>
        <v/>
      </c>
      <c r="W50" s="11">
        <f>IF(D50="","",D50&amp;":"&amp;E50&amp;IF(EXACT(E50,UPPER(E50)),"","|lc"))</f>
        <v/>
      </c>
      <c r="X50" s="11">
        <f>IF(F50="","",F50&amp;":"&amp;G50&amp;IF(EXACT(G50,UPPER(G50)),"","|lc"))</f>
        <v/>
      </c>
      <c r="Y50" s="9" t="n"/>
      <c r="Z50" s="9" t="n"/>
    </row>
    <row r="51">
      <c r="A51" s="12" t="inlineStr">
        <is>
          <t>W-DATABOX-050</t>
        </is>
      </c>
      <c r="B51" s="9" t="inlineStr">
        <is>
          <t>DATABOX</t>
        </is>
      </c>
      <c r="C51" s="9" t="inlineStr">
        <is>
          <t>POWER_LCD</t>
        </is>
      </c>
      <c r="D51" s="9" t="inlineStr">
        <is>
          <t>LCD</t>
        </is>
      </c>
      <c r="E51" s="9" t="inlineStr">
        <is>
          <t>1</t>
        </is>
      </c>
      <c r="F51" s="9" t="inlineStr">
        <is>
          <t>RASPBERRY PI</t>
        </is>
      </c>
      <c r="G51" s="9" t="inlineStr">
        <is>
          <t>?1</t>
        </is>
      </c>
      <c r="H51" s="10" t="n"/>
      <c r="I51" s="10" t="n"/>
      <c r="J51" s="11">
        <f>IF(I51="","",IFERROR(INDEX(Lists!$F$3:$F$17,MATCH(I51,Lists!$E$3:$E$17,0)),"?"))</f>
        <v/>
      </c>
      <c r="K51" s="9" t="inlineStr">
        <is>
          <t>N</t>
        </is>
      </c>
      <c r="L51" s="9" t="n"/>
      <c r="M51" s="10" t="n"/>
      <c r="N51" s="11">
        <f>IF(D51="","",IFERROR(INDEX(Connectors!$J$2:$J$1000,MATCH(D51,Connectors!$A$2:$A$1000,0))&amp;"",""))</f>
        <v/>
      </c>
      <c r="O51" s="11">
        <f>IF(F51="","",IFERROR(INDEX(Connectors!$J$2:$J$1000,MATCH(F51,Connectors!$A$2:$A$1000,0))&amp;"",""))</f>
        <v/>
      </c>
      <c r="P51" s="9" t="n"/>
      <c r="Q51" s="9" t="n"/>
      <c r="R51" s="10" t="n"/>
      <c r="S51" s="9" t="inlineStr">
        <is>
          <t>LCD Power</t>
        </is>
      </c>
      <c r="T51" s="9" t="inlineStr">
        <is>
          <t>1 ponta (folha LCD)</t>
        </is>
      </c>
      <c r="U51" s="12" t="inlineStr">
        <is>
          <t>I-21</t>
        </is>
      </c>
      <c r="V51" s="11">
        <f>IF(D51="","",IF(COUNTIF(Connectors!$A$2:$A$1000,D51)=0,"from_ref não existe; ","")&amp;IF(COUNTIF(Connectors!$A$2:$A$1000,F51)=0,"to_ref não existe; ","")&amp;IF(AND(H51&lt;&gt;"",COUNTIF(Lists!$A$3:$A$14,H51)=0),"cor inválida; ","")&amp;IF(H51="","sem cor; ","")&amp;IF((K51="Y")&lt;&gt;(H51="OG"),"HV e laranja não batem; ","")&amp;IF(AND(K51="Y",OR(IFERROR(INDEX(Connectors!$F$2:$F$1000,MATCH(D51,Connectors!$A$2:$A$1000,0)),"")&lt;&gt;"Y",IFERROR(INDEX(Connectors!$F$2:$F$1000,MATCH(F51,Connectors!$A$2:$A$1000,0)),"")&lt;&gt;"Y")),"fio HV em ficha não HV rated; ","")&amp;IF(AND(COUNTIF($W$2:$W$1000,W51)+COUNTIF($X$2:$X$1000,W51)&gt;1,ISERROR(MATCH(IFERROR(INDEX(Connectors!$D$2:$D$1000,MATCH(D51,Connectors!$A$2:$A$1000,0)),""),{"SPLICE","STUD"},0))),"pino from com &gt;1 fio; ","")&amp;IF(AND(COUNTIF($W$2:$W$1000,X51)+COUNTIF($X$2:$X$1000,X51)&gt;1,ISERROR(MATCH(IFERROR(INDEX(Connectors!$D$2:$D$1000,MATCH(F51,Connectors!$A$2:$A$1000,0)),""),{"SPLICE","STUD"},0))),"pino to com &gt;1 fio; ","")&amp;IF(I51="","sem secção; ",""))</f>
        <v/>
      </c>
      <c r="W51" s="11">
        <f>IF(D51="","",D51&amp;":"&amp;E51&amp;IF(EXACT(E51,UPPER(E51)),"","|lc"))</f>
        <v/>
      </c>
      <c r="X51" s="11">
        <f>IF(F51="","",F51&amp;":"&amp;G51&amp;IF(EXACT(G51,UPPER(G51)),"","|lc"))</f>
        <v/>
      </c>
      <c r="Y51" s="9" t="n"/>
      <c r="Z51" s="9" t="n"/>
    </row>
    <row r="52">
      <c r="A52" s="12" t="inlineStr">
        <is>
          <t>W-DATABOX-051</t>
        </is>
      </c>
      <c r="B52" s="9" t="inlineStr">
        <is>
          <t>DATABOX</t>
        </is>
      </c>
      <c r="C52" s="9" t="inlineStr">
        <is>
          <t>HDMI</t>
        </is>
      </c>
      <c r="D52" s="9" t="inlineStr">
        <is>
          <t>LCD</t>
        </is>
      </c>
      <c r="E52" s="9" t="inlineStr">
        <is>
          <t>2</t>
        </is>
      </c>
      <c r="F52" s="9" t="inlineStr">
        <is>
          <t>RASPBERRY PI MICRO HDMI PORT</t>
        </is>
      </c>
      <c r="G52" s="9" t="inlineStr">
        <is>
          <t>?1</t>
        </is>
      </c>
      <c r="H52" s="10" t="n"/>
      <c r="I52" s="10" t="n"/>
      <c r="J52" s="11">
        <f>IF(I52="","",IFERROR(INDEX(Lists!$F$3:$F$17,MATCH(I52,Lists!$E$3:$E$17,0)),"?"))</f>
        <v/>
      </c>
      <c r="K52" s="9" t="inlineStr">
        <is>
          <t>N</t>
        </is>
      </c>
      <c r="L52" s="9" t="n"/>
      <c r="M52" s="10" t="n"/>
      <c r="N52" s="11">
        <f>IF(D52="","",IFERROR(INDEX(Connectors!$J$2:$J$1000,MATCH(D52,Connectors!$A$2:$A$1000,0))&amp;"",""))</f>
        <v/>
      </c>
      <c r="O52" s="11">
        <f>IF(F52="","",IFERROR(INDEX(Connectors!$J$2:$J$1000,MATCH(F52,Connectors!$A$2:$A$1000,0))&amp;"",""))</f>
        <v/>
      </c>
      <c r="P52" s="9" t="n"/>
      <c r="Q52" s="9" t="n"/>
      <c r="R52" s="10" t="n"/>
      <c r="S52" s="9" t="inlineStr">
        <is>
          <t>HDMI</t>
        </is>
      </c>
      <c r="T52" s="9" t="inlineStr">
        <is>
          <t>1 ponta (folha LCD)</t>
        </is>
      </c>
      <c r="U52" s="12" t="inlineStr">
        <is>
          <t>I-21</t>
        </is>
      </c>
      <c r="V52" s="11">
        <f>IF(D52="","",IF(COUNTIF(Connectors!$A$2:$A$1000,D52)=0,"from_ref não existe; ","")&amp;IF(COUNTIF(Connectors!$A$2:$A$1000,F52)=0,"to_ref não existe; ","")&amp;IF(AND(H52&lt;&gt;"",COUNTIF(Lists!$A$3:$A$14,H52)=0),"cor inválida; ","")&amp;IF(H52="","sem cor; ","")&amp;IF((K52="Y")&lt;&gt;(H52="OG"),"HV e laranja não batem; ","")&amp;IF(AND(K52="Y",OR(IFERROR(INDEX(Connectors!$F$2:$F$1000,MATCH(D52,Connectors!$A$2:$A$1000,0)),"")&lt;&gt;"Y",IFERROR(INDEX(Connectors!$F$2:$F$1000,MATCH(F52,Connectors!$A$2:$A$1000,0)),"")&lt;&gt;"Y")),"fio HV em ficha não HV rated; ","")&amp;IF(AND(COUNTIF($W$2:$W$1000,W52)+COUNTIF($X$2:$X$1000,W52)&gt;1,ISERROR(MATCH(IFERROR(INDEX(Connectors!$D$2:$D$1000,MATCH(D52,Connectors!$A$2:$A$1000,0)),""),{"SPLICE","STUD"},0))),"pino from com &gt;1 fio; ","")&amp;IF(AND(COUNTIF($W$2:$W$1000,X52)+COUNTIF($X$2:$X$1000,X52)&gt;1,ISERROR(MATCH(IFERROR(INDEX(Connectors!$D$2:$D$1000,MATCH(F52,Connectors!$A$2:$A$1000,0)),""),{"SPLICE","STUD"},0))),"pino to com &gt;1 fio; ","")&amp;IF(I52="","sem secção; ",""))</f>
        <v/>
      </c>
      <c r="W52" s="11">
        <f>IF(D52="","",D52&amp;":"&amp;E52&amp;IF(EXACT(E52,UPPER(E52)),"","|lc"))</f>
        <v/>
      </c>
      <c r="X52" s="11">
        <f>IF(F52="","",F52&amp;":"&amp;G52&amp;IF(EXACT(G52,UPPER(G52)),"","|lc"))</f>
        <v/>
      </c>
      <c r="Y52" s="9" t="n"/>
      <c r="Z52" s="9" t="n"/>
    </row>
    <row r="53">
      <c r="A53" s="9" t="inlineStr">
        <is>
          <t>W-DATABOX-052</t>
        </is>
      </c>
      <c r="B53" s="9" t="inlineStr">
        <is>
          <t>DATABOX</t>
        </is>
      </c>
      <c r="C53" s="9" t="inlineStr">
        <is>
          <t>EMERGENCY J1-1</t>
        </is>
      </c>
      <c r="D53" s="9" t="inlineStr">
        <is>
          <t>EMERGENCY J1</t>
        </is>
      </c>
      <c r="E53" s="9" t="inlineStr">
        <is>
          <t>1</t>
        </is>
      </c>
      <c r="F53" s="9" t="inlineStr">
        <is>
          <t>SPL EMERGENCY J1-1</t>
        </is>
      </c>
      <c r="G53" s="9" t="inlineStr">
        <is>
          <t>S</t>
        </is>
      </c>
      <c r="H53" s="9" t="inlineStr">
        <is>
          <t>VT</t>
        </is>
      </c>
      <c r="I53" s="10" t="n"/>
      <c r="J53" s="11">
        <f>IF(I53="","",IFERROR(INDEX(Lists!$F$3:$F$17,MATCH(I53,Lists!$E$3:$E$17,0)),"?"))</f>
        <v/>
      </c>
      <c r="K53" s="9" t="inlineStr">
        <is>
          <t>N</t>
        </is>
      </c>
      <c r="L53" s="9" t="inlineStr">
        <is>
          <t>24V</t>
        </is>
      </c>
      <c r="M53" s="10" t="n"/>
      <c r="N53" s="11">
        <f>IF(D53="","",IFERROR(INDEX(Connectors!$J$2:$J$1000,MATCH(D53,Connectors!$A$2:$A$1000,0))&amp;"",""))</f>
        <v/>
      </c>
      <c r="O53" s="11">
        <f>IF(F53="","",IFERROR(INDEX(Connectors!$J$2:$J$1000,MATCH(F53,Connectors!$A$2:$A$1000,0))&amp;"",""))</f>
        <v/>
      </c>
      <c r="P53" s="9" t="n"/>
      <c r="Q53" s="9" t="n"/>
      <c r="R53" s="10" t="n"/>
      <c r="S53" s="9" t="inlineStr">
        <is>
          <t>Shutdown Circuit In</t>
        </is>
      </c>
      <c r="T53" s="9" t="inlineStr">
        <is>
          <t>1 ponta (folha Emergency Button)</t>
        </is>
      </c>
      <c r="U53" s="9" t="n"/>
      <c r="V53" s="11">
        <f>IF(D53="","",IF(COUNTIF(Connectors!$A$2:$A$1000,D53)=0,"from_ref não existe; ","")&amp;IF(COUNTIF(Connectors!$A$2:$A$1000,F53)=0,"to_ref não existe; ","")&amp;IF(AND(H53&lt;&gt;"",COUNTIF(Lists!$A$3:$A$14,H53)=0),"cor inválida; ","")&amp;IF(H53="","sem cor; ","")&amp;IF((K53="Y")&lt;&gt;(H53="OG"),"HV e laranja não batem; ","")&amp;IF(AND(K53="Y",OR(IFERROR(INDEX(Connectors!$F$2:$F$1000,MATCH(D53,Connectors!$A$2:$A$1000,0)),"")&lt;&gt;"Y",IFERROR(INDEX(Connectors!$F$2:$F$1000,MATCH(F53,Connectors!$A$2:$A$1000,0)),"")&lt;&gt;"Y")),"fio HV em ficha não HV rated; ","")&amp;IF(AND(COUNTIF($W$2:$W$1000,W53)+COUNTIF($X$2:$X$1000,W53)&gt;1,ISERROR(MATCH(IFERROR(INDEX(Connectors!$D$2:$D$1000,MATCH(D53,Connectors!$A$2:$A$1000,0)),""),{"SPLICE","STUD"},0))),"pino from com &gt;1 fio; ","")&amp;IF(AND(COUNTIF($W$2:$W$1000,X53)+COUNTIF($X$2:$X$1000,X53)&gt;1,ISERROR(MATCH(IFERROR(INDEX(Connectors!$D$2:$D$1000,MATCH(F53,Connectors!$A$2:$A$1000,0)),""),{"SPLICE","STUD"},0))),"pino to com &gt;1 fio; ","")&amp;IF(I53="","sem secção; ",""))</f>
        <v/>
      </c>
      <c r="W53" s="11">
        <f>IF(D53="","",D53&amp;":"&amp;E53&amp;IF(EXACT(E53,UPPER(E53)),"","|lc"))</f>
        <v/>
      </c>
      <c r="X53" s="11">
        <f>IF(F53="","",F53&amp;":"&amp;G53&amp;IF(EXACT(G53,UPPER(G53)),"","|lc"))</f>
        <v/>
      </c>
      <c r="Y53" s="9" t="n"/>
      <c r="Z53" s="9" t="n"/>
    </row>
    <row r="54">
      <c r="A54" s="9" t="inlineStr">
        <is>
          <t>W-DATABOX-053</t>
        </is>
      </c>
      <c r="B54" s="9" t="inlineStr">
        <is>
          <t>DATABOX</t>
        </is>
      </c>
      <c r="C54" s="9" t="inlineStr">
        <is>
          <t>EMERGENCY J1-1</t>
        </is>
      </c>
      <c r="D54" s="9" t="inlineStr">
        <is>
          <t>SPL EMERGENCY J1-1</t>
        </is>
      </c>
      <c r="E54" s="9" t="inlineStr">
        <is>
          <t>S</t>
        </is>
      </c>
      <c r="F54" s="9" t="inlineStr">
        <is>
          <t>DATABOX J2</t>
        </is>
      </c>
      <c r="G54" s="9" t="inlineStr">
        <is>
          <t>D</t>
        </is>
      </c>
      <c r="H54" s="9" t="inlineStr">
        <is>
          <t>VT</t>
        </is>
      </c>
      <c r="I54" s="10" t="n"/>
      <c r="J54" s="11">
        <f>IF(I54="","",IFERROR(INDEX(Lists!$F$3:$F$17,MATCH(I54,Lists!$E$3:$E$17,0)),"?"))</f>
        <v/>
      </c>
      <c r="K54" s="9" t="inlineStr">
        <is>
          <t>N</t>
        </is>
      </c>
      <c r="L54" s="9" t="inlineStr">
        <is>
          <t>24V</t>
        </is>
      </c>
      <c r="M54" s="10" t="n"/>
      <c r="N54" s="11">
        <f>IF(D54="","",IFERROR(INDEX(Connectors!$J$2:$J$1000,MATCH(D54,Connectors!$A$2:$A$1000,0))&amp;"",""))</f>
        <v/>
      </c>
      <c r="O54" s="11">
        <f>IF(F54="","",IFERROR(INDEX(Connectors!$J$2:$J$1000,MATCH(F54,Connectors!$A$2:$A$1000,0))&amp;"",""))</f>
        <v/>
      </c>
      <c r="P54" s="9" t="n"/>
      <c r="Q54" s="9" t="n"/>
      <c r="R54" s="10" t="n"/>
      <c r="S54" s="9" t="inlineStr">
        <is>
          <t>Shutdown Circuit In</t>
        </is>
      </c>
      <c r="T54" s="9" t="inlineStr">
        <is>
          <t>2 pontas</t>
        </is>
      </c>
      <c r="U54" s="9" t="n"/>
      <c r="V54" s="11">
        <f>IF(D54="","",IF(COUNTIF(Connectors!$A$2:$A$1000,D54)=0,"from_ref não existe; ","")&amp;IF(COUNTIF(Connectors!$A$2:$A$1000,F54)=0,"to_ref não existe; ","")&amp;IF(AND(H54&lt;&gt;"",COUNTIF(Lists!$A$3:$A$14,H54)=0),"cor inválida; ","")&amp;IF(H54="","sem cor; ","")&amp;IF((K54="Y")&lt;&gt;(H54="OG"),"HV e laranja não batem; ","")&amp;IF(AND(K54="Y",OR(IFERROR(INDEX(Connectors!$F$2:$F$1000,MATCH(D54,Connectors!$A$2:$A$1000,0)),"")&lt;&gt;"Y",IFERROR(INDEX(Connectors!$F$2:$F$1000,MATCH(F54,Connectors!$A$2:$A$1000,0)),"")&lt;&gt;"Y")),"fio HV em ficha não HV rated; ","")&amp;IF(AND(COUNTIF($W$2:$W$1000,W54)+COUNTIF($X$2:$X$1000,W54)&gt;1,ISERROR(MATCH(IFERROR(INDEX(Connectors!$D$2:$D$1000,MATCH(D54,Connectors!$A$2:$A$1000,0)),""),{"SPLICE","STUD"},0))),"pino from com &gt;1 fio; ","")&amp;IF(AND(COUNTIF($W$2:$W$1000,X54)+COUNTIF($X$2:$X$1000,X54)&gt;1,ISERROR(MATCH(IFERROR(INDEX(Connectors!$D$2:$D$1000,MATCH(F54,Connectors!$A$2:$A$1000,0)),""),{"SPLICE","STUD"},0))),"pino to com &gt;1 fio; ","")&amp;IF(I54="","sem secção; ",""))</f>
        <v/>
      </c>
      <c r="W54" s="11">
        <f>IF(D54="","",D54&amp;":"&amp;E54&amp;IF(EXACT(E54,UPPER(E54)),"","|lc"))</f>
        <v/>
      </c>
      <c r="X54" s="11">
        <f>IF(F54="","",F54&amp;":"&amp;G54&amp;IF(EXACT(G54,UPPER(G54)),"","|lc"))</f>
        <v/>
      </c>
      <c r="Y54" s="9" t="n"/>
      <c r="Z54" s="9" t="n"/>
    </row>
    <row r="55">
      <c r="A55" s="9" t="inlineStr">
        <is>
          <t>W-DATABOX-054</t>
        </is>
      </c>
      <c r="B55" s="9" t="inlineStr">
        <is>
          <t>DATABOX</t>
        </is>
      </c>
      <c r="C55" s="9" t="inlineStr">
        <is>
          <t>EMERGENCY J1-2</t>
        </is>
      </c>
      <c r="D55" s="9" t="inlineStr">
        <is>
          <t>EMERGENCY J1</t>
        </is>
      </c>
      <c r="E55" s="9" t="inlineStr">
        <is>
          <t>2</t>
        </is>
      </c>
      <c r="F55" s="9" t="inlineStr">
        <is>
          <t>SPL EMERGENCY J1-2</t>
        </is>
      </c>
      <c r="G55" s="9" t="inlineStr">
        <is>
          <t>S</t>
        </is>
      </c>
      <c r="H55" s="9" t="inlineStr">
        <is>
          <t>VT</t>
        </is>
      </c>
      <c r="I55" s="10" t="n"/>
      <c r="J55" s="11">
        <f>IF(I55="","",IFERROR(INDEX(Lists!$F$3:$F$17,MATCH(I55,Lists!$E$3:$E$17,0)),"?"))</f>
        <v/>
      </c>
      <c r="K55" s="9" t="inlineStr">
        <is>
          <t>N</t>
        </is>
      </c>
      <c r="L55" s="9" t="inlineStr">
        <is>
          <t>24V</t>
        </is>
      </c>
      <c r="M55" s="10" t="n"/>
      <c r="N55" s="11">
        <f>IF(D55="","",IFERROR(INDEX(Connectors!$J$2:$J$1000,MATCH(D55,Connectors!$A$2:$A$1000,0))&amp;"",""))</f>
        <v/>
      </c>
      <c r="O55" s="11">
        <f>IF(F55="","",IFERROR(INDEX(Connectors!$J$2:$J$1000,MATCH(F55,Connectors!$A$2:$A$1000,0))&amp;"",""))</f>
        <v/>
      </c>
      <c r="P55" s="9" t="n"/>
      <c r="Q55" s="9" t="n"/>
      <c r="R55" s="10" t="n"/>
      <c r="S55" s="9" t="inlineStr">
        <is>
          <t>Shutdown Circuit Out</t>
        </is>
      </c>
      <c r="T55" s="9" t="inlineStr">
        <is>
          <t>1 ponta (folha Emergency Button)</t>
        </is>
      </c>
      <c r="U55" s="9" t="n"/>
      <c r="V55" s="11">
        <f>IF(D55="","",IF(COUNTIF(Connectors!$A$2:$A$1000,D55)=0,"from_ref não existe; ","")&amp;IF(COUNTIF(Connectors!$A$2:$A$1000,F55)=0,"to_ref não existe; ","")&amp;IF(AND(H55&lt;&gt;"",COUNTIF(Lists!$A$3:$A$14,H55)=0),"cor inválida; ","")&amp;IF(H55="","sem cor; ","")&amp;IF((K55="Y")&lt;&gt;(H55="OG"),"HV e laranja não batem; ","")&amp;IF(AND(K55="Y",OR(IFERROR(INDEX(Connectors!$F$2:$F$1000,MATCH(D55,Connectors!$A$2:$A$1000,0)),"")&lt;&gt;"Y",IFERROR(INDEX(Connectors!$F$2:$F$1000,MATCH(F55,Connectors!$A$2:$A$1000,0)),"")&lt;&gt;"Y")),"fio HV em ficha não HV rated; ","")&amp;IF(AND(COUNTIF($W$2:$W$1000,W55)+COUNTIF($X$2:$X$1000,W55)&gt;1,ISERROR(MATCH(IFERROR(INDEX(Connectors!$D$2:$D$1000,MATCH(D55,Connectors!$A$2:$A$1000,0)),""),{"SPLICE","STUD"},0))),"pino from com &gt;1 fio; ","")&amp;IF(AND(COUNTIF($W$2:$W$1000,X55)+COUNTIF($X$2:$X$1000,X55)&gt;1,ISERROR(MATCH(IFERROR(INDEX(Connectors!$D$2:$D$1000,MATCH(F55,Connectors!$A$2:$A$1000,0)),""),{"SPLICE","STUD"},0))),"pino to com &gt;1 fio; ","")&amp;IF(I55="","sem secção; ",""))</f>
        <v/>
      </c>
      <c r="W55" s="11">
        <f>IF(D55="","",D55&amp;":"&amp;E55&amp;IF(EXACT(E55,UPPER(E55)),"","|lc"))</f>
        <v/>
      </c>
      <c r="X55" s="11">
        <f>IF(F55="","",F55&amp;":"&amp;G55&amp;IF(EXACT(G55,UPPER(G55)),"","|lc"))</f>
        <v/>
      </c>
      <c r="Y55" s="9" t="n"/>
      <c r="Z55" s="9" t="n"/>
    </row>
    <row r="56">
      <c r="A56" s="9" t="inlineStr">
        <is>
          <t>W-DATABOX-055</t>
        </is>
      </c>
      <c r="B56" s="9" t="inlineStr">
        <is>
          <t>DATABOX</t>
        </is>
      </c>
      <c r="C56" s="9" t="inlineStr">
        <is>
          <t>EMERGENCY J1-2</t>
        </is>
      </c>
      <c r="D56" s="9" t="inlineStr">
        <is>
          <t>SPL EMERGENCY J1-2</t>
        </is>
      </c>
      <c r="E56" s="9" t="inlineStr">
        <is>
          <t>S</t>
        </is>
      </c>
      <c r="F56" s="9" t="inlineStr">
        <is>
          <t>DATABOX J2</t>
        </is>
      </c>
      <c r="G56" s="9" t="inlineStr">
        <is>
          <t>E</t>
        </is>
      </c>
      <c r="H56" s="9" t="inlineStr">
        <is>
          <t>VT</t>
        </is>
      </c>
      <c r="I56" s="10" t="n"/>
      <c r="J56" s="11">
        <f>IF(I56="","",IFERROR(INDEX(Lists!$F$3:$F$17,MATCH(I56,Lists!$E$3:$E$17,0)),"?"))</f>
        <v/>
      </c>
      <c r="K56" s="9" t="inlineStr">
        <is>
          <t>N</t>
        </is>
      </c>
      <c r="L56" s="9" t="inlineStr">
        <is>
          <t>24V</t>
        </is>
      </c>
      <c r="M56" s="10" t="n"/>
      <c r="N56" s="11">
        <f>IF(D56="","",IFERROR(INDEX(Connectors!$J$2:$J$1000,MATCH(D56,Connectors!$A$2:$A$1000,0))&amp;"",""))</f>
        <v/>
      </c>
      <c r="O56" s="11">
        <f>IF(F56="","",IFERROR(INDEX(Connectors!$J$2:$J$1000,MATCH(F56,Connectors!$A$2:$A$1000,0))&amp;"",""))</f>
        <v/>
      </c>
      <c r="P56" s="9" t="n"/>
      <c r="Q56" s="9" t="n"/>
      <c r="R56" s="10" t="n"/>
      <c r="S56" s="9" t="inlineStr">
        <is>
          <t>Shutdown Circuit Out</t>
        </is>
      </c>
      <c r="T56" s="9" t="inlineStr">
        <is>
          <t>2 pontas</t>
        </is>
      </c>
      <c r="U56" s="9" t="n"/>
      <c r="V56" s="11">
        <f>IF(D56="","",IF(COUNTIF(Connectors!$A$2:$A$1000,D56)=0,"from_ref não existe; ","")&amp;IF(COUNTIF(Connectors!$A$2:$A$1000,F56)=0,"to_ref não existe; ","")&amp;IF(AND(H56&lt;&gt;"",COUNTIF(Lists!$A$3:$A$14,H56)=0),"cor inválida; ","")&amp;IF(H56="","sem cor; ","")&amp;IF((K56="Y")&lt;&gt;(H56="OG"),"HV e laranja não batem; ","")&amp;IF(AND(K56="Y",OR(IFERROR(INDEX(Connectors!$F$2:$F$1000,MATCH(D56,Connectors!$A$2:$A$1000,0)),"")&lt;&gt;"Y",IFERROR(INDEX(Connectors!$F$2:$F$1000,MATCH(F56,Connectors!$A$2:$A$1000,0)),"")&lt;&gt;"Y")),"fio HV em ficha não HV rated; ","")&amp;IF(AND(COUNTIF($W$2:$W$1000,W56)+COUNTIF($X$2:$X$1000,W56)&gt;1,ISERROR(MATCH(IFERROR(INDEX(Connectors!$D$2:$D$1000,MATCH(D56,Connectors!$A$2:$A$1000,0)),""),{"SPLICE","STUD"},0))),"pino from com &gt;1 fio; ","")&amp;IF(AND(COUNTIF($W$2:$W$1000,X56)+COUNTIF($X$2:$X$1000,X56)&gt;1,ISERROR(MATCH(IFERROR(INDEX(Connectors!$D$2:$D$1000,MATCH(F56,Connectors!$A$2:$A$1000,0)),""),{"SPLICE","STUD"},0))),"pino to com &gt;1 fio; ","")&amp;IF(I56="","sem secção; ",""))</f>
        <v/>
      </c>
      <c r="W56" s="11">
        <f>IF(D56="","",D56&amp;":"&amp;E56&amp;IF(EXACT(E56,UPPER(E56)),"","|lc"))</f>
        <v/>
      </c>
      <c r="X56" s="11">
        <f>IF(F56="","",F56&amp;":"&amp;G56&amp;IF(EXACT(G56,UPPER(G56)),"","|lc"))</f>
        <v/>
      </c>
      <c r="Y56" s="9" t="n"/>
      <c r="Z56" s="9" t="n"/>
    </row>
    <row r="57">
      <c r="A57" s="9" t="inlineStr">
        <is>
          <t>W-DATABOX-056</t>
        </is>
      </c>
      <c r="B57" s="9" t="inlineStr">
        <is>
          <t>DATABOX</t>
        </is>
      </c>
      <c r="C57" s="9" t="inlineStr">
        <is>
          <t>LED_R2D_SIGNAL</t>
        </is>
      </c>
      <c r="D57" s="9" t="inlineStr">
        <is>
          <t>R2D J1</t>
        </is>
      </c>
      <c r="E57" s="9" t="inlineStr">
        <is>
          <t>4</t>
        </is>
      </c>
      <c r="F57" s="9" t="inlineStr">
        <is>
          <t>DATABOX J2</t>
        </is>
      </c>
      <c r="G57" s="9" t="inlineStr">
        <is>
          <t>C</t>
        </is>
      </c>
      <c r="H57" s="9" t="inlineStr">
        <is>
          <t>WH</t>
        </is>
      </c>
      <c r="I57" s="10" t="n"/>
      <c r="J57" s="11">
        <f>IF(I57="","",IFERROR(INDEX(Lists!$F$3:$F$17,MATCH(I57,Lists!$E$3:$E$17,0)),"?"))</f>
        <v/>
      </c>
      <c r="K57" s="9" t="inlineStr">
        <is>
          <t>N</t>
        </is>
      </c>
      <c r="L57" s="9" t="inlineStr">
        <is>
          <t>0V</t>
        </is>
      </c>
      <c r="M57" s="10" t="n"/>
      <c r="N57" s="11">
        <f>IF(D57="","",IFERROR(INDEX(Connectors!$J$2:$J$1000,MATCH(D57,Connectors!$A$2:$A$1000,0))&amp;"",""))</f>
        <v/>
      </c>
      <c r="O57" s="11">
        <f>IF(F57="","",IFERROR(INDEX(Connectors!$J$2:$J$1000,MATCH(F57,Connectors!$A$2:$A$1000,0))&amp;"",""))</f>
        <v/>
      </c>
      <c r="P57" s="9" t="n"/>
      <c r="Q57" s="9" t="n"/>
      <c r="R57" s="10" t="n"/>
      <c r="S57" s="9" t="inlineStr">
        <is>
          <t>LED R2D Signal</t>
        </is>
      </c>
      <c r="T57" s="9" t="inlineStr">
        <is>
          <t>2 pontas</t>
        </is>
      </c>
      <c r="U57" s="9" t="n"/>
      <c r="V57" s="11">
        <f>IF(D57="","",IF(COUNTIF(Connectors!$A$2:$A$1000,D57)=0,"from_ref não existe; ","")&amp;IF(COUNTIF(Connectors!$A$2:$A$1000,F57)=0,"to_ref não existe; ","")&amp;IF(AND(H57&lt;&gt;"",COUNTIF(Lists!$A$3:$A$14,H57)=0),"cor inválida; ","")&amp;IF(H57="","sem cor; ","")&amp;IF((K57="Y")&lt;&gt;(H57="OG"),"HV e laranja não batem; ","")&amp;IF(AND(K57="Y",OR(IFERROR(INDEX(Connectors!$F$2:$F$1000,MATCH(D57,Connectors!$A$2:$A$1000,0)),"")&lt;&gt;"Y",IFERROR(INDEX(Connectors!$F$2:$F$1000,MATCH(F57,Connectors!$A$2:$A$1000,0)),"")&lt;&gt;"Y")),"fio HV em ficha não HV rated; ","")&amp;IF(AND(COUNTIF($W$2:$W$1000,W57)+COUNTIF($X$2:$X$1000,W57)&gt;1,ISERROR(MATCH(IFERROR(INDEX(Connectors!$D$2:$D$1000,MATCH(D57,Connectors!$A$2:$A$1000,0)),""),{"SPLICE","STUD"},0))),"pino from com &gt;1 fio; ","")&amp;IF(AND(COUNTIF($W$2:$W$1000,X57)+COUNTIF($X$2:$X$1000,X57)&gt;1,ISERROR(MATCH(IFERROR(INDEX(Connectors!$D$2:$D$1000,MATCH(F57,Connectors!$A$2:$A$1000,0)),""),{"SPLICE","STUD"},0))),"pino to com &gt;1 fio; ","")&amp;IF(I57="","sem secção; ",""))</f>
        <v/>
      </c>
      <c r="W57" s="11">
        <f>IF(D57="","",D57&amp;":"&amp;E57&amp;IF(EXACT(E57,UPPER(E57)),"","|lc"))</f>
        <v/>
      </c>
      <c r="X57" s="11">
        <f>IF(F57="","",F57&amp;":"&amp;G57&amp;IF(EXACT(G57,UPPER(G57)),"","|lc"))</f>
        <v/>
      </c>
      <c r="Y57" s="9" t="n"/>
      <c r="Z57" s="9" t="n"/>
    </row>
    <row r="58">
      <c r="A58" s="12" t="inlineStr">
        <is>
          <t>W-DATABOX-057</t>
        </is>
      </c>
      <c r="B58" s="9" t="inlineStr">
        <is>
          <t>DATABOX</t>
        </is>
      </c>
      <c r="C58" s="9" t="inlineStr">
        <is>
          <t>LED_STRIP_POWER</t>
        </is>
      </c>
      <c r="D58" s="9" t="inlineStr">
        <is>
          <t>LED STRIP J1</t>
        </is>
      </c>
      <c r="E58" s="9" t="inlineStr">
        <is>
          <t>1</t>
        </is>
      </c>
      <c r="F58" s="9" t="inlineStr">
        <is>
          <t>RASPBERRY J6</t>
        </is>
      </c>
      <c r="G58" s="9" t="inlineStr">
        <is>
          <t>2</t>
        </is>
      </c>
      <c r="H58" s="9" t="inlineStr">
        <is>
          <t>YE</t>
        </is>
      </c>
      <c r="I58" s="10" t="n"/>
      <c r="J58" s="11">
        <f>IF(I58="","",IFERROR(INDEX(Lists!$F$3:$F$17,MATCH(I58,Lists!$E$3:$E$17,0)),"?"))</f>
        <v/>
      </c>
      <c r="K58" s="9" t="inlineStr">
        <is>
          <t>N</t>
        </is>
      </c>
      <c r="L58" s="9" t="inlineStr">
        <is>
          <t>5V</t>
        </is>
      </c>
      <c r="M58" s="10" t="n"/>
      <c r="N58" s="11">
        <f>IF(D58="","",IFERROR(INDEX(Connectors!$J$2:$J$1000,MATCH(D58,Connectors!$A$2:$A$1000,0))&amp;"",""))</f>
        <v/>
      </c>
      <c r="O58" s="11">
        <f>IF(F58="","",IFERROR(INDEX(Connectors!$J$2:$J$1000,MATCH(F58,Connectors!$A$2:$A$1000,0))&amp;"",""))</f>
        <v/>
      </c>
      <c r="P58" s="9" t="n"/>
      <c r="Q58" s="9" t="n"/>
      <c r="R58" s="10" t="n"/>
      <c r="S58" s="9" t="inlineStr">
        <is>
          <t>LED Strip Power</t>
        </is>
      </c>
      <c r="T58" s="9" t="inlineStr">
        <is>
          <t>1 ponta (folha LED Strip)</t>
        </is>
      </c>
      <c r="U58" s="12" t="inlineStr">
        <is>
          <t>I-08, I-20</t>
        </is>
      </c>
      <c r="V58" s="11">
        <f>IF(D58="","",IF(COUNTIF(Connectors!$A$2:$A$1000,D58)=0,"from_ref não existe; ","")&amp;IF(COUNTIF(Connectors!$A$2:$A$1000,F58)=0,"to_ref não existe; ","")&amp;IF(AND(H58&lt;&gt;"",COUNTIF(Lists!$A$3:$A$14,H58)=0),"cor inválida; ","")&amp;IF(H58="","sem cor; ","")&amp;IF((K58="Y")&lt;&gt;(H58="OG"),"HV e laranja não batem; ","")&amp;IF(AND(K58="Y",OR(IFERROR(INDEX(Connectors!$F$2:$F$1000,MATCH(D58,Connectors!$A$2:$A$1000,0)),"")&lt;&gt;"Y",IFERROR(INDEX(Connectors!$F$2:$F$1000,MATCH(F58,Connectors!$A$2:$A$1000,0)),"")&lt;&gt;"Y")),"fio HV em ficha não HV rated; ","")&amp;IF(AND(COUNTIF($W$2:$W$1000,W58)+COUNTIF($X$2:$X$1000,W58)&gt;1,ISERROR(MATCH(IFERROR(INDEX(Connectors!$D$2:$D$1000,MATCH(D58,Connectors!$A$2:$A$1000,0)),""),{"SPLICE","STUD"},0))),"pino from com &gt;1 fio; ","")&amp;IF(AND(COUNTIF($W$2:$W$1000,X58)+COUNTIF($X$2:$X$1000,X58)&gt;1,ISERROR(MATCH(IFERROR(INDEX(Connectors!$D$2:$D$1000,MATCH(F58,Connectors!$A$2:$A$1000,0)),""),{"SPLICE","STUD"},0))),"pino to com &gt;1 fio; ","")&amp;IF(I58="","sem secção; ",""))</f>
        <v/>
      </c>
      <c r="W58" s="11">
        <f>IF(D58="","",D58&amp;":"&amp;E58&amp;IF(EXACT(E58,UPPER(E58)),"","|lc"))</f>
        <v/>
      </c>
      <c r="X58" s="11">
        <f>IF(F58="","",F58&amp;":"&amp;G58&amp;IF(EXACT(G58,UPPER(G58)),"","|lc"))</f>
        <v/>
      </c>
      <c r="Y58" s="9" t="n"/>
      <c r="Z58" s="9" t="n"/>
    </row>
    <row r="59">
      <c r="A59" s="12" t="inlineStr">
        <is>
          <t>W-DATABOX-058</t>
        </is>
      </c>
      <c r="B59" s="9" t="inlineStr">
        <is>
          <t>DATABOX</t>
        </is>
      </c>
      <c r="C59" s="9" t="inlineStr">
        <is>
          <t>LED_STRIP_DATA</t>
        </is>
      </c>
      <c r="D59" s="9" t="inlineStr">
        <is>
          <t>LED STRIP J1</t>
        </is>
      </c>
      <c r="E59" s="9" t="inlineStr">
        <is>
          <t>2</t>
        </is>
      </c>
      <c r="F59" s="9" t="inlineStr">
        <is>
          <t>RASPBERRY J6</t>
        </is>
      </c>
      <c r="G59" s="9" t="inlineStr">
        <is>
          <t>12</t>
        </is>
      </c>
      <c r="H59" s="9" t="inlineStr">
        <is>
          <t>WH</t>
        </is>
      </c>
      <c r="I59" s="10" t="n"/>
      <c r="J59" s="11">
        <f>IF(I59="","",IFERROR(INDEX(Lists!$F$3:$F$17,MATCH(I59,Lists!$E$3:$E$17,0)),"?"))</f>
        <v/>
      </c>
      <c r="K59" s="9" t="inlineStr">
        <is>
          <t>N</t>
        </is>
      </c>
      <c r="L59" s="9" t="inlineStr">
        <is>
          <t>3.3V</t>
        </is>
      </c>
      <c r="M59" s="10" t="n"/>
      <c r="N59" s="11">
        <f>IF(D59="","",IFERROR(INDEX(Connectors!$J$2:$J$1000,MATCH(D59,Connectors!$A$2:$A$1000,0))&amp;"",""))</f>
        <v/>
      </c>
      <c r="O59" s="11">
        <f>IF(F59="","",IFERROR(INDEX(Connectors!$J$2:$J$1000,MATCH(F59,Connectors!$A$2:$A$1000,0))&amp;"",""))</f>
        <v/>
      </c>
      <c r="P59" s="9" t="n"/>
      <c r="Q59" s="9" t="n"/>
      <c r="R59" s="10" t="n"/>
      <c r="S59" s="9" t="inlineStr">
        <is>
          <t>LED Strip Control</t>
        </is>
      </c>
      <c r="T59" s="9" t="inlineStr">
        <is>
          <t>1 ponta (folha LED Strip)</t>
        </is>
      </c>
      <c r="U59" s="12" t="inlineStr">
        <is>
          <t>I-13</t>
        </is>
      </c>
      <c r="V59" s="11">
        <f>IF(D59="","",IF(COUNTIF(Connectors!$A$2:$A$1000,D59)=0,"from_ref não existe; ","")&amp;IF(COUNTIF(Connectors!$A$2:$A$1000,F59)=0,"to_ref não existe; ","")&amp;IF(AND(H59&lt;&gt;"",COUNTIF(Lists!$A$3:$A$14,H59)=0),"cor inválida; ","")&amp;IF(H59="","sem cor; ","")&amp;IF((K59="Y")&lt;&gt;(H59="OG"),"HV e laranja não batem; ","")&amp;IF(AND(K59="Y",OR(IFERROR(INDEX(Connectors!$F$2:$F$1000,MATCH(D59,Connectors!$A$2:$A$1000,0)),"")&lt;&gt;"Y",IFERROR(INDEX(Connectors!$F$2:$F$1000,MATCH(F59,Connectors!$A$2:$A$1000,0)),"")&lt;&gt;"Y")),"fio HV em ficha não HV rated; ","")&amp;IF(AND(COUNTIF($W$2:$W$1000,W59)+COUNTIF($X$2:$X$1000,W59)&gt;1,ISERROR(MATCH(IFERROR(INDEX(Connectors!$D$2:$D$1000,MATCH(D59,Connectors!$A$2:$A$1000,0)),""),{"SPLICE","STUD"},0))),"pino from com &gt;1 fio; ","")&amp;IF(AND(COUNTIF($W$2:$W$1000,X59)+COUNTIF($X$2:$X$1000,X59)&gt;1,ISERROR(MATCH(IFERROR(INDEX(Connectors!$D$2:$D$1000,MATCH(F59,Connectors!$A$2:$A$1000,0)),""),{"SPLICE","STUD"},0))),"pino to com &gt;1 fio; ","")&amp;IF(I59="","sem secção; ",""))</f>
        <v/>
      </c>
      <c r="W59" s="11">
        <f>IF(D59="","",D59&amp;":"&amp;E59&amp;IF(EXACT(E59,UPPER(E59)),"","|lc"))</f>
        <v/>
      </c>
      <c r="X59" s="11">
        <f>IF(F59="","",F59&amp;":"&amp;G59&amp;IF(EXACT(G59,UPPER(G59)),"","|lc"))</f>
        <v/>
      </c>
      <c r="Y59" s="9" t="n"/>
      <c r="Z59" s="9" t="n"/>
    </row>
    <row r="60">
      <c r="A60" s="12" t="inlineStr">
        <is>
          <t>W-DATABOX-059</t>
        </is>
      </c>
      <c r="B60" s="9" t="inlineStr">
        <is>
          <t>DATABOX</t>
        </is>
      </c>
      <c r="C60" s="9" t="inlineStr">
        <is>
          <t>LED_STRIP_GND</t>
        </is>
      </c>
      <c r="D60" s="9" t="inlineStr">
        <is>
          <t>LED STRIP J1</t>
        </is>
      </c>
      <c r="E60" s="9" t="inlineStr">
        <is>
          <t>3</t>
        </is>
      </c>
      <c r="F60" s="9" t="inlineStr">
        <is>
          <t>RASPBERRY J6</t>
        </is>
      </c>
      <c r="G60" s="9" t="inlineStr">
        <is>
          <t>20</t>
        </is>
      </c>
      <c r="H60" s="9" t="inlineStr">
        <is>
          <t>BK</t>
        </is>
      </c>
      <c r="I60" s="10" t="n"/>
      <c r="J60" s="11">
        <f>IF(I60="","",IFERROR(INDEX(Lists!$F$3:$F$17,MATCH(I60,Lists!$E$3:$E$17,0)),"?"))</f>
        <v/>
      </c>
      <c r="K60" s="9" t="inlineStr">
        <is>
          <t>N</t>
        </is>
      </c>
      <c r="L60" s="9" t="inlineStr">
        <is>
          <t>0V</t>
        </is>
      </c>
      <c r="M60" s="10" t="n"/>
      <c r="N60" s="11">
        <f>IF(D60="","",IFERROR(INDEX(Connectors!$J$2:$J$1000,MATCH(D60,Connectors!$A$2:$A$1000,0))&amp;"",""))</f>
        <v/>
      </c>
      <c r="O60" s="11">
        <f>IF(F60="","",IFERROR(INDEX(Connectors!$J$2:$J$1000,MATCH(F60,Connectors!$A$2:$A$1000,0))&amp;"",""))</f>
        <v/>
      </c>
      <c r="P60" s="9" t="n"/>
      <c r="Q60" s="9" t="n"/>
      <c r="R60" s="10" t="n"/>
      <c r="S60" s="9" t="inlineStr">
        <is>
          <t>LED STRIP Ground</t>
        </is>
      </c>
      <c r="T60" s="9" t="inlineStr">
        <is>
          <t>1 ponta (folha LED Strip)</t>
        </is>
      </c>
      <c r="U60" s="12" t="inlineStr">
        <is>
          <t>I-17</t>
        </is>
      </c>
      <c r="V60" s="11">
        <f>IF(D60="","",IF(COUNTIF(Connectors!$A$2:$A$1000,D60)=0,"from_ref não existe; ","")&amp;IF(COUNTIF(Connectors!$A$2:$A$1000,F60)=0,"to_ref não existe; ","")&amp;IF(AND(H60&lt;&gt;"",COUNTIF(Lists!$A$3:$A$14,H60)=0),"cor inválida; ","")&amp;IF(H60="","sem cor; ","")&amp;IF((K60="Y")&lt;&gt;(H60="OG"),"HV e laranja não batem; ","")&amp;IF(AND(K60="Y",OR(IFERROR(INDEX(Connectors!$F$2:$F$1000,MATCH(D60,Connectors!$A$2:$A$1000,0)),"")&lt;&gt;"Y",IFERROR(INDEX(Connectors!$F$2:$F$1000,MATCH(F60,Connectors!$A$2:$A$1000,0)),"")&lt;&gt;"Y")),"fio HV em ficha não HV rated; ","")&amp;IF(AND(COUNTIF($W$2:$W$1000,W60)+COUNTIF($X$2:$X$1000,W60)&gt;1,ISERROR(MATCH(IFERROR(INDEX(Connectors!$D$2:$D$1000,MATCH(D60,Connectors!$A$2:$A$1000,0)),""),{"SPLICE","STUD"},0))),"pino from com &gt;1 fio; ","")&amp;IF(AND(COUNTIF($W$2:$W$1000,X60)+COUNTIF($X$2:$X$1000,X60)&gt;1,ISERROR(MATCH(IFERROR(INDEX(Connectors!$D$2:$D$1000,MATCH(F60,Connectors!$A$2:$A$1000,0)),""),{"SPLICE","STUD"},0))),"pino to com &gt;1 fio; ","")&amp;IF(I60="","sem secção; ",""))</f>
        <v/>
      </c>
      <c r="W60" s="11">
        <f>IF(D60="","",D60&amp;":"&amp;E60&amp;IF(EXACT(E60,UPPER(E60)),"","|lc"))</f>
        <v/>
      </c>
      <c r="X60" s="11">
        <f>IF(F60="","",F60&amp;":"&amp;G60&amp;IF(EXACT(G60,UPPER(G60)),"","|lc"))</f>
        <v/>
      </c>
      <c r="Y60" s="9" t="n"/>
      <c r="Z60" s="9" t="n"/>
    </row>
    <row r="61">
      <c r="A61" s="12" t="inlineStr">
        <is>
          <t>W-DATABOX-060</t>
        </is>
      </c>
      <c r="B61" s="9" t="inlineStr">
        <is>
          <t>DATABOX</t>
        </is>
      </c>
      <c r="C61" s="9" t="inlineStr">
        <is>
          <t>R2D_LED_SUPPLY</t>
        </is>
      </c>
      <c r="D61" s="9" t="inlineStr">
        <is>
          <t>ACQUISITION J3</t>
        </is>
      </c>
      <c r="E61" s="9" t="inlineStr">
        <is>
          <t>7</t>
        </is>
      </c>
      <c r="F61" s="9" t="inlineStr">
        <is>
          <t>AMS LED J1</t>
        </is>
      </c>
      <c r="G61" s="9" t="inlineStr">
        <is>
          <t>1</t>
        </is>
      </c>
      <c r="H61" s="9" t="inlineStr">
        <is>
          <t>RD</t>
        </is>
      </c>
      <c r="I61" s="10" t="n"/>
      <c r="J61" s="11">
        <f>IF(I61="","",IFERROR(INDEX(Lists!$F$3:$F$17,MATCH(I61,Lists!$E$3:$E$17,0)),"?"))</f>
        <v/>
      </c>
      <c r="K61" s="9" t="inlineStr">
        <is>
          <t>N</t>
        </is>
      </c>
      <c r="L61" s="9" t="inlineStr">
        <is>
          <t>24V</t>
        </is>
      </c>
      <c r="M61" s="10" t="n"/>
      <c r="N61" s="11">
        <f>IF(D61="","",IFERROR(INDEX(Connectors!$J$2:$J$1000,MATCH(D61,Connectors!$A$2:$A$1000,0))&amp;"",""))</f>
        <v/>
      </c>
      <c r="O61" s="11">
        <f>IF(F61="","",IFERROR(INDEX(Connectors!$J$2:$J$1000,MATCH(F61,Connectors!$A$2:$A$1000,0))&amp;"",""))</f>
        <v/>
      </c>
      <c r="P61" s="9" t="n"/>
      <c r="Q61" s="9" t="n"/>
      <c r="R61" s="10" t="n"/>
      <c r="S61" s="9" t="inlineStr">
        <is>
          <t>AMS Error Led Supply (Soldar no fio 1k ohm)</t>
        </is>
      </c>
      <c r="T61" s="9" t="inlineStr">
        <is>
          <t>1 ponta (folha LEDS)</t>
        </is>
      </c>
      <c r="U61" s="12" t="inlineStr">
        <is>
          <t>I-05</t>
        </is>
      </c>
      <c r="V61" s="11">
        <f>IF(D61="","",IF(COUNTIF(Connectors!$A$2:$A$1000,D61)=0,"from_ref não existe; ","")&amp;IF(COUNTIF(Connectors!$A$2:$A$1000,F61)=0,"to_ref não existe; ","")&amp;IF(AND(H61&lt;&gt;"",COUNTIF(Lists!$A$3:$A$14,H61)=0),"cor inválida; ","")&amp;IF(H61="","sem cor; ","")&amp;IF((K61="Y")&lt;&gt;(H61="OG"),"HV e laranja não batem; ","")&amp;IF(AND(K61="Y",OR(IFERROR(INDEX(Connectors!$F$2:$F$1000,MATCH(D61,Connectors!$A$2:$A$1000,0)),"")&lt;&gt;"Y",IFERROR(INDEX(Connectors!$F$2:$F$1000,MATCH(F61,Connectors!$A$2:$A$1000,0)),"")&lt;&gt;"Y")),"fio HV em ficha não HV rated; ","")&amp;IF(AND(COUNTIF($W$2:$W$1000,W61)+COUNTIF($X$2:$X$1000,W61)&gt;1,ISERROR(MATCH(IFERROR(INDEX(Connectors!$D$2:$D$1000,MATCH(D61,Connectors!$A$2:$A$1000,0)),""),{"SPLICE","STUD"},0))),"pino from com &gt;1 fio; ","")&amp;IF(AND(COUNTIF($W$2:$W$1000,X61)+COUNTIF($X$2:$X$1000,X61)&gt;1,ISERROR(MATCH(IFERROR(INDEX(Connectors!$D$2:$D$1000,MATCH(F61,Connectors!$A$2:$A$1000,0)),""),{"SPLICE","STUD"},0))),"pino to com &gt;1 fio; ","")&amp;IF(I61="","sem secção; ",""))</f>
        <v/>
      </c>
      <c r="W61" s="11">
        <f>IF(D61="","",D61&amp;":"&amp;E61&amp;IF(EXACT(E61,UPPER(E61)),"","|lc"))</f>
        <v/>
      </c>
      <c r="X61" s="11">
        <f>IF(F61="","",F61&amp;":"&amp;G61&amp;IF(EXACT(G61,UPPER(G61)),"","|lc"))</f>
        <v/>
      </c>
      <c r="Y61" s="9" t="n"/>
      <c r="Z61" s="9" t="n"/>
    </row>
    <row r="62">
      <c r="A62" s="9" t="inlineStr">
        <is>
          <t>W-DATABOX-061</t>
        </is>
      </c>
      <c r="B62" s="9" t="inlineStr">
        <is>
          <t>DATABOX</t>
        </is>
      </c>
      <c r="C62" s="9" t="inlineStr">
        <is>
          <t>AMS_LED_SIGNAL</t>
        </is>
      </c>
      <c r="D62" s="9" t="inlineStr">
        <is>
          <t>AMS LED J1</t>
        </is>
      </c>
      <c r="E62" s="9" t="inlineStr">
        <is>
          <t>2</t>
        </is>
      </c>
      <c r="F62" s="9" t="inlineStr">
        <is>
          <t>DATABOX J2</t>
        </is>
      </c>
      <c r="G62" s="9" t="inlineStr">
        <is>
          <t>F</t>
        </is>
      </c>
      <c r="H62" s="9" t="inlineStr">
        <is>
          <t>WH</t>
        </is>
      </c>
      <c r="I62" s="10" t="n"/>
      <c r="J62" s="11">
        <f>IF(I62="","",IFERROR(INDEX(Lists!$F$3:$F$17,MATCH(I62,Lists!$E$3:$E$17,0)),"?"))</f>
        <v/>
      </c>
      <c r="K62" s="9" t="inlineStr">
        <is>
          <t>N</t>
        </is>
      </c>
      <c r="L62" s="9" t="inlineStr">
        <is>
          <t>0V</t>
        </is>
      </c>
      <c r="M62" s="10" t="n"/>
      <c r="N62" s="11">
        <f>IF(D62="","",IFERROR(INDEX(Connectors!$J$2:$J$1000,MATCH(D62,Connectors!$A$2:$A$1000,0))&amp;"",""))</f>
        <v/>
      </c>
      <c r="O62" s="11">
        <f>IF(F62="","",IFERROR(INDEX(Connectors!$J$2:$J$1000,MATCH(F62,Connectors!$A$2:$A$1000,0))&amp;"",""))</f>
        <v/>
      </c>
      <c r="P62" s="9" t="n"/>
      <c r="Q62" s="9" t="n"/>
      <c r="R62" s="10" t="n"/>
      <c r="S62" s="9" t="inlineStr">
        <is>
          <t>AMS Error Led Signal</t>
        </is>
      </c>
      <c r="T62" s="9" t="inlineStr">
        <is>
          <t>2 pontas</t>
        </is>
      </c>
      <c r="U62" s="9" t="n"/>
      <c r="V62" s="11">
        <f>IF(D62="","",IF(COUNTIF(Connectors!$A$2:$A$1000,D62)=0,"from_ref não existe; ","")&amp;IF(COUNTIF(Connectors!$A$2:$A$1000,F62)=0,"to_ref não existe; ","")&amp;IF(AND(H62&lt;&gt;"",COUNTIF(Lists!$A$3:$A$14,H62)=0),"cor inválida; ","")&amp;IF(H62="","sem cor; ","")&amp;IF((K62="Y")&lt;&gt;(H62="OG"),"HV e laranja não batem; ","")&amp;IF(AND(K62="Y",OR(IFERROR(INDEX(Connectors!$F$2:$F$1000,MATCH(D62,Connectors!$A$2:$A$1000,0)),"")&lt;&gt;"Y",IFERROR(INDEX(Connectors!$F$2:$F$1000,MATCH(F62,Connectors!$A$2:$A$1000,0)),"")&lt;&gt;"Y")),"fio HV em ficha não HV rated; ","")&amp;IF(AND(COUNTIF($W$2:$W$1000,W62)+COUNTIF($X$2:$X$1000,W62)&gt;1,ISERROR(MATCH(IFERROR(INDEX(Connectors!$D$2:$D$1000,MATCH(D62,Connectors!$A$2:$A$1000,0)),""),{"SPLICE","STUD"},0))),"pino from com &gt;1 fio; ","")&amp;IF(AND(COUNTIF($W$2:$W$1000,X62)+COUNTIF($X$2:$X$1000,X62)&gt;1,ISERROR(MATCH(IFERROR(INDEX(Connectors!$D$2:$D$1000,MATCH(F62,Connectors!$A$2:$A$1000,0)),""),{"SPLICE","STUD"},0))),"pino to com &gt;1 fio; ","")&amp;IF(I62="","sem secção; ",""))</f>
        <v/>
      </c>
      <c r="W62" s="11">
        <f>IF(D62="","",D62&amp;":"&amp;E62&amp;IF(EXACT(E62,UPPER(E62)),"","|lc"))</f>
        <v/>
      </c>
      <c r="X62" s="11">
        <f>IF(F62="","",F62&amp;":"&amp;G62&amp;IF(EXACT(G62,UPPER(G62)),"","|lc"))</f>
        <v/>
      </c>
      <c r="Y62" s="9" t="n"/>
      <c r="Z62" s="9" t="n"/>
    </row>
    <row r="63">
      <c r="A63" s="9" t="inlineStr">
        <is>
          <t>W-DATABOX-062</t>
        </is>
      </c>
      <c r="B63" s="9" t="inlineStr">
        <is>
          <t>DATABOX</t>
        </is>
      </c>
      <c r="C63" s="9" t="inlineStr">
        <is>
          <t>TS_OFF_LED_SIGNAL</t>
        </is>
      </c>
      <c r="D63" s="9" t="inlineStr">
        <is>
          <t>DATABOX J2</t>
        </is>
      </c>
      <c r="E63" s="9" t="inlineStr">
        <is>
          <t>G</t>
        </is>
      </c>
      <c r="F63" s="9" t="inlineStr">
        <is>
          <t>TS OFF LED J1</t>
        </is>
      </c>
      <c r="G63" s="9" t="inlineStr">
        <is>
          <t>1</t>
        </is>
      </c>
      <c r="H63" s="9" t="inlineStr">
        <is>
          <t>WH</t>
        </is>
      </c>
      <c r="I63" s="10" t="n"/>
      <c r="J63" s="11">
        <f>IF(I63="","",IFERROR(INDEX(Lists!$F$3:$F$17,MATCH(I63,Lists!$E$3:$E$17,0)),"?"))</f>
        <v/>
      </c>
      <c r="K63" s="9" t="inlineStr">
        <is>
          <t>N</t>
        </is>
      </c>
      <c r="L63" s="9" t="inlineStr">
        <is>
          <t>3.3V</t>
        </is>
      </c>
      <c r="M63" s="10" t="n"/>
      <c r="N63" s="11">
        <f>IF(D63="","",IFERROR(INDEX(Connectors!$J$2:$J$1000,MATCH(D63,Connectors!$A$2:$A$1000,0))&amp;"",""))</f>
        <v/>
      </c>
      <c r="O63" s="11">
        <f>IF(F63="","",IFERROR(INDEX(Connectors!$J$2:$J$1000,MATCH(F63,Connectors!$A$2:$A$1000,0))&amp;"",""))</f>
        <v/>
      </c>
      <c r="P63" s="9" t="n"/>
      <c r="Q63" s="9" t="n"/>
      <c r="R63" s="10" t="n"/>
      <c r="S63" s="9" t="inlineStr">
        <is>
          <t>TS Off Led Signal (Soldar no fio 10 ohm)</t>
        </is>
      </c>
      <c r="T63" s="9" t="inlineStr">
        <is>
          <t>2 pontas</t>
        </is>
      </c>
      <c r="U63" s="9" t="n"/>
      <c r="V63" s="11">
        <f>IF(D63="","",IF(COUNTIF(Connectors!$A$2:$A$1000,D63)=0,"from_ref não existe; ","")&amp;IF(COUNTIF(Connectors!$A$2:$A$1000,F63)=0,"to_ref não existe; ","")&amp;IF(AND(H63&lt;&gt;"",COUNTIF(Lists!$A$3:$A$14,H63)=0),"cor inválida; ","")&amp;IF(H63="","sem cor; ","")&amp;IF((K63="Y")&lt;&gt;(H63="OG"),"HV e laranja não batem; ","")&amp;IF(AND(K63="Y",OR(IFERROR(INDEX(Connectors!$F$2:$F$1000,MATCH(D63,Connectors!$A$2:$A$1000,0)),"")&lt;&gt;"Y",IFERROR(INDEX(Connectors!$F$2:$F$1000,MATCH(F63,Connectors!$A$2:$A$1000,0)),"")&lt;&gt;"Y")),"fio HV em ficha não HV rated; ","")&amp;IF(AND(COUNTIF($W$2:$W$1000,W63)+COUNTIF($X$2:$X$1000,W63)&gt;1,ISERROR(MATCH(IFERROR(INDEX(Connectors!$D$2:$D$1000,MATCH(D63,Connectors!$A$2:$A$1000,0)),""),{"SPLICE","STUD"},0))),"pino from com &gt;1 fio; ","")&amp;IF(AND(COUNTIF($W$2:$W$1000,X63)+COUNTIF($X$2:$X$1000,X63)&gt;1,ISERROR(MATCH(IFERROR(INDEX(Connectors!$D$2:$D$1000,MATCH(F63,Connectors!$A$2:$A$1000,0)),""),{"SPLICE","STUD"},0))),"pino to com &gt;1 fio; ","")&amp;IF(I63="","sem secção; ",""))</f>
        <v/>
      </c>
      <c r="W63" s="11">
        <f>IF(D63="","",D63&amp;":"&amp;E63&amp;IF(EXACT(E63,UPPER(E63)),"","|lc"))</f>
        <v/>
      </c>
      <c r="X63" s="11">
        <f>IF(F63="","",F63&amp;":"&amp;G63&amp;IF(EXACT(G63,UPPER(G63)),"","|lc"))</f>
        <v/>
      </c>
      <c r="Y63" s="9" t="n"/>
      <c r="Z63" s="9" t="n"/>
    </row>
    <row r="64">
      <c r="A64" s="12" t="inlineStr">
        <is>
          <t>W-DATABOX-063</t>
        </is>
      </c>
      <c r="B64" s="9" t="inlineStr">
        <is>
          <t>DATABOX</t>
        </is>
      </c>
      <c r="C64" s="9" t="inlineStr">
        <is>
          <t>TS_OFF_LED_GND</t>
        </is>
      </c>
      <c r="D64" s="9" t="inlineStr">
        <is>
          <t>TS OFF LED J1</t>
        </is>
      </c>
      <c r="E64" s="9" t="inlineStr">
        <is>
          <t>2</t>
        </is>
      </c>
      <c r="F64" s="9" t="inlineStr">
        <is>
          <t>ACQUISITION J3</t>
        </is>
      </c>
      <c r="G64" s="9" t="inlineStr">
        <is>
          <t>12</t>
        </is>
      </c>
      <c r="H64" s="9" t="inlineStr">
        <is>
          <t>BK</t>
        </is>
      </c>
      <c r="I64" s="10" t="n"/>
      <c r="J64" s="11">
        <f>IF(I64="","",IFERROR(INDEX(Lists!$F$3:$F$17,MATCH(I64,Lists!$E$3:$E$17,0)),"?"))</f>
        <v/>
      </c>
      <c r="K64" s="9" t="inlineStr">
        <is>
          <t>N</t>
        </is>
      </c>
      <c r="L64" s="9" t="inlineStr">
        <is>
          <t>0V</t>
        </is>
      </c>
      <c r="M64" s="10" t="n"/>
      <c r="N64" s="11">
        <f>IF(D64="","",IFERROR(INDEX(Connectors!$J$2:$J$1000,MATCH(D64,Connectors!$A$2:$A$1000,0))&amp;"",""))</f>
        <v/>
      </c>
      <c r="O64" s="11">
        <f>IF(F64="","",IFERROR(INDEX(Connectors!$J$2:$J$1000,MATCH(F64,Connectors!$A$2:$A$1000,0))&amp;"",""))</f>
        <v/>
      </c>
      <c r="P64" s="9" t="n"/>
      <c r="Q64" s="9" t="n"/>
      <c r="R64" s="10" t="n"/>
      <c r="S64" s="9" t="inlineStr">
        <is>
          <t>TS Off Led Ground</t>
        </is>
      </c>
      <c r="T64" s="9" t="inlineStr">
        <is>
          <t>1 ponta (folha LEDS)</t>
        </is>
      </c>
      <c r="U64" s="12" t="inlineStr">
        <is>
          <t>I-06</t>
        </is>
      </c>
      <c r="V64" s="11">
        <f>IF(D64="","",IF(COUNTIF(Connectors!$A$2:$A$1000,D64)=0,"from_ref não existe; ","")&amp;IF(COUNTIF(Connectors!$A$2:$A$1000,F64)=0,"to_ref não existe; ","")&amp;IF(AND(H64&lt;&gt;"",COUNTIF(Lists!$A$3:$A$14,H64)=0),"cor inválida; ","")&amp;IF(H64="","sem cor; ","")&amp;IF((K64="Y")&lt;&gt;(H64="OG"),"HV e laranja não batem; ","")&amp;IF(AND(K64="Y",OR(IFERROR(INDEX(Connectors!$F$2:$F$1000,MATCH(D64,Connectors!$A$2:$A$1000,0)),"")&lt;&gt;"Y",IFERROR(INDEX(Connectors!$F$2:$F$1000,MATCH(F64,Connectors!$A$2:$A$1000,0)),"")&lt;&gt;"Y")),"fio HV em ficha não HV rated; ","")&amp;IF(AND(COUNTIF($W$2:$W$1000,W64)+COUNTIF($X$2:$X$1000,W64)&gt;1,ISERROR(MATCH(IFERROR(INDEX(Connectors!$D$2:$D$1000,MATCH(D64,Connectors!$A$2:$A$1000,0)),""),{"SPLICE","STUD"},0))),"pino from com &gt;1 fio; ","")&amp;IF(AND(COUNTIF($W$2:$W$1000,X64)+COUNTIF($X$2:$X$1000,X64)&gt;1,ISERROR(MATCH(IFERROR(INDEX(Connectors!$D$2:$D$1000,MATCH(F64,Connectors!$A$2:$A$1000,0)),""),{"SPLICE","STUD"},0))),"pino to com &gt;1 fio; ","")&amp;IF(I64="","sem secção; ",""))</f>
        <v/>
      </c>
      <c r="W64" s="11">
        <f>IF(D64="","",D64&amp;":"&amp;E64&amp;IF(EXACT(E64,UPPER(E64)),"","|lc"))</f>
        <v/>
      </c>
      <c r="X64" s="11">
        <f>IF(F64="","",F64&amp;":"&amp;G64&amp;IF(EXACT(G64,UPPER(G64)),"","|lc"))</f>
        <v/>
      </c>
      <c r="Y64" s="9" t="n"/>
      <c r="Z64" s="9" t="n"/>
    </row>
    <row r="65">
      <c r="A65" s="12" t="inlineStr">
        <is>
          <t>W-DATABOX-064</t>
        </is>
      </c>
      <c r="B65" s="9" t="inlineStr">
        <is>
          <t>DATABOX</t>
        </is>
      </c>
      <c r="C65" s="9" t="inlineStr">
        <is>
          <t>R2D_LED_SUPPLY</t>
        </is>
      </c>
      <c r="D65" s="9" t="inlineStr">
        <is>
          <t>ACQUISITION J3</t>
        </is>
      </c>
      <c r="E65" s="9" t="inlineStr">
        <is>
          <t>7</t>
        </is>
      </c>
      <c r="F65" s="9" t="inlineStr">
        <is>
          <t>IMD LED J1</t>
        </is>
      </c>
      <c r="G65" s="9" t="inlineStr">
        <is>
          <t>1</t>
        </is>
      </c>
      <c r="H65" s="9" t="inlineStr">
        <is>
          <t>RD</t>
        </is>
      </c>
      <c r="I65" s="10" t="n"/>
      <c r="J65" s="11">
        <f>IF(I65="","",IFERROR(INDEX(Lists!$F$3:$F$17,MATCH(I65,Lists!$E$3:$E$17,0)),"?"))</f>
        <v/>
      </c>
      <c r="K65" s="9" t="inlineStr">
        <is>
          <t>N</t>
        </is>
      </c>
      <c r="L65" s="9" t="inlineStr">
        <is>
          <t>24V</t>
        </is>
      </c>
      <c r="M65" s="10" t="n"/>
      <c r="N65" s="11">
        <f>IF(D65="","",IFERROR(INDEX(Connectors!$J$2:$J$1000,MATCH(D65,Connectors!$A$2:$A$1000,0))&amp;"",""))</f>
        <v/>
      </c>
      <c r="O65" s="11">
        <f>IF(F65="","",IFERROR(INDEX(Connectors!$J$2:$J$1000,MATCH(F65,Connectors!$A$2:$A$1000,0))&amp;"",""))</f>
        <v/>
      </c>
      <c r="P65" s="9" t="n"/>
      <c r="Q65" s="9" t="n"/>
      <c r="R65" s="10" t="n"/>
      <c r="S65" s="9" t="inlineStr">
        <is>
          <t>IMD Error Led Supply (Soldar no fio 1k ohm)</t>
        </is>
      </c>
      <c r="T65" s="9" t="inlineStr">
        <is>
          <t>1 ponta (folha LEDS)</t>
        </is>
      </c>
      <c r="U65" s="12" t="inlineStr">
        <is>
          <t>I-05</t>
        </is>
      </c>
      <c r="V65" s="11">
        <f>IF(D65="","",IF(COUNTIF(Connectors!$A$2:$A$1000,D65)=0,"from_ref não existe; ","")&amp;IF(COUNTIF(Connectors!$A$2:$A$1000,F65)=0,"to_ref não existe; ","")&amp;IF(AND(H65&lt;&gt;"",COUNTIF(Lists!$A$3:$A$14,H65)=0),"cor inválida; ","")&amp;IF(H65="","sem cor; ","")&amp;IF((K65="Y")&lt;&gt;(H65="OG"),"HV e laranja não batem; ","")&amp;IF(AND(K65="Y",OR(IFERROR(INDEX(Connectors!$F$2:$F$1000,MATCH(D65,Connectors!$A$2:$A$1000,0)),"")&lt;&gt;"Y",IFERROR(INDEX(Connectors!$F$2:$F$1000,MATCH(F65,Connectors!$A$2:$A$1000,0)),"")&lt;&gt;"Y")),"fio HV em ficha não HV rated; ","")&amp;IF(AND(COUNTIF($W$2:$W$1000,W65)+COUNTIF($X$2:$X$1000,W65)&gt;1,ISERROR(MATCH(IFERROR(INDEX(Connectors!$D$2:$D$1000,MATCH(D65,Connectors!$A$2:$A$1000,0)),""),{"SPLICE","STUD"},0))),"pino from com &gt;1 fio; ","")&amp;IF(AND(COUNTIF($W$2:$W$1000,X65)+COUNTIF($X$2:$X$1000,X65)&gt;1,ISERROR(MATCH(IFERROR(INDEX(Connectors!$D$2:$D$1000,MATCH(F65,Connectors!$A$2:$A$1000,0)),""),{"SPLICE","STUD"},0))),"pino to com &gt;1 fio; ","")&amp;IF(I65="","sem secção; ",""))</f>
        <v/>
      </c>
      <c r="W65" s="11">
        <f>IF(D65="","",D65&amp;":"&amp;E65&amp;IF(EXACT(E65,UPPER(E65)),"","|lc"))</f>
        <v/>
      </c>
      <c r="X65" s="11">
        <f>IF(F65="","",F65&amp;":"&amp;G65&amp;IF(EXACT(G65,UPPER(G65)),"","|lc"))</f>
        <v/>
      </c>
      <c r="Y65" s="9" t="n"/>
      <c r="Z65" s="9" t="n"/>
    </row>
    <row r="66">
      <c r="A66" s="9" t="inlineStr">
        <is>
          <t>W-DATABOX-065</t>
        </is>
      </c>
      <c r="B66" s="9" t="inlineStr">
        <is>
          <t>DATABOX</t>
        </is>
      </c>
      <c r="C66" s="9" t="inlineStr">
        <is>
          <t>IMD_LED_SIGNAL</t>
        </is>
      </c>
      <c r="D66" s="9" t="inlineStr">
        <is>
          <t>IMD LED J1</t>
        </is>
      </c>
      <c r="E66" s="9" t="inlineStr">
        <is>
          <t>2</t>
        </is>
      </c>
      <c r="F66" s="9" t="inlineStr">
        <is>
          <t>DATABOX J2</t>
        </is>
      </c>
      <c r="G66" s="9" t="inlineStr">
        <is>
          <t>H</t>
        </is>
      </c>
      <c r="H66" s="9" t="inlineStr">
        <is>
          <t>WH</t>
        </is>
      </c>
      <c r="I66" s="10" t="n"/>
      <c r="J66" s="11">
        <f>IF(I66="","",IFERROR(INDEX(Lists!$F$3:$F$17,MATCH(I66,Lists!$E$3:$E$17,0)),"?"))</f>
        <v/>
      </c>
      <c r="K66" s="9" t="inlineStr">
        <is>
          <t>N</t>
        </is>
      </c>
      <c r="L66" s="9" t="inlineStr">
        <is>
          <t>0V</t>
        </is>
      </c>
      <c r="M66" s="10" t="n"/>
      <c r="N66" s="11">
        <f>IF(D66="","",IFERROR(INDEX(Connectors!$J$2:$J$1000,MATCH(D66,Connectors!$A$2:$A$1000,0))&amp;"",""))</f>
        <v/>
      </c>
      <c r="O66" s="11">
        <f>IF(F66="","",IFERROR(INDEX(Connectors!$J$2:$J$1000,MATCH(F66,Connectors!$A$2:$A$1000,0))&amp;"",""))</f>
        <v/>
      </c>
      <c r="P66" s="9" t="n"/>
      <c r="Q66" s="9" t="n"/>
      <c r="R66" s="10" t="n"/>
      <c r="S66" s="9" t="inlineStr">
        <is>
          <t>IMD Error Led Signal</t>
        </is>
      </c>
      <c r="T66" s="9" t="inlineStr">
        <is>
          <t>2 pontas</t>
        </is>
      </c>
      <c r="U66" s="9" t="n"/>
      <c r="V66" s="11">
        <f>IF(D66="","",IF(COUNTIF(Connectors!$A$2:$A$1000,D66)=0,"from_ref não existe; ","")&amp;IF(COUNTIF(Connectors!$A$2:$A$1000,F66)=0,"to_ref não existe; ","")&amp;IF(AND(H66&lt;&gt;"",COUNTIF(Lists!$A$3:$A$14,H66)=0),"cor inválida; ","")&amp;IF(H66="","sem cor; ","")&amp;IF((K66="Y")&lt;&gt;(H66="OG"),"HV e laranja não batem; ","")&amp;IF(AND(K66="Y",OR(IFERROR(INDEX(Connectors!$F$2:$F$1000,MATCH(D66,Connectors!$A$2:$A$1000,0)),"")&lt;&gt;"Y",IFERROR(INDEX(Connectors!$F$2:$F$1000,MATCH(F66,Connectors!$A$2:$A$1000,0)),"")&lt;&gt;"Y")),"fio HV em ficha não HV rated; ","")&amp;IF(AND(COUNTIF($W$2:$W$1000,W66)+COUNTIF($X$2:$X$1000,W66)&gt;1,ISERROR(MATCH(IFERROR(INDEX(Connectors!$D$2:$D$1000,MATCH(D66,Connectors!$A$2:$A$1000,0)),""),{"SPLICE","STUD"},0))),"pino from com &gt;1 fio; ","")&amp;IF(AND(COUNTIF($W$2:$W$1000,X66)+COUNTIF($X$2:$X$1000,X66)&gt;1,ISERROR(MATCH(IFERROR(INDEX(Connectors!$D$2:$D$1000,MATCH(F66,Connectors!$A$2:$A$1000,0)),""),{"SPLICE","STUD"},0))),"pino to com &gt;1 fio; ","")&amp;IF(I66="","sem secção; ",""))</f>
        <v/>
      </c>
      <c r="W66" s="11">
        <f>IF(D66="","",D66&amp;":"&amp;E66&amp;IF(EXACT(E66,UPPER(E66)),"","|lc"))</f>
        <v/>
      </c>
      <c r="X66" s="11">
        <f>IF(F66="","",F66&amp;":"&amp;G66&amp;IF(EXACT(G66,UPPER(G66)),"","|lc"))</f>
        <v/>
      </c>
      <c r="Y66" s="9" t="n"/>
      <c r="Z66" s="9" t="n"/>
    </row>
    <row r="67">
      <c r="A67" s="9" t="inlineStr">
        <is>
          <t>W-DATABOX-066</t>
        </is>
      </c>
      <c r="B67" s="9" t="inlineStr">
        <is>
          <t>DATABOX</t>
        </is>
      </c>
      <c r="C67" s="9" t="inlineStr">
        <is>
          <t>SDC_LED_SIGNAL</t>
        </is>
      </c>
      <c r="D67" s="9" t="inlineStr">
        <is>
          <t>DATABOX J2</t>
        </is>
      </c>
      <c r="E67" s="9" t="inlineStr">
        <is>
          <t>J</t>
        </is>
      </c>
      <c r="F67" s="9" t="inlineStr">
        <is>
          <t>SDC LED J1</t>
        </is>
      </c>
      <c r="G67" s="9" t="inlineStr">
        <is>
          <t>1</t>
        </is>
      </c>
      <c r="H67" s="9" t="inlineStr">
        <is>
          <t>VT</t>
        </is>
      </c>
      <c r="I67" s="10" t="n"/>
      <c r="J67" s="11">
        <f>IF(I67="","",IFERROR(INDEX(Lists!$F$3:$F$17,MATCH(I67,Lists!$E$3:$E$17,0)),"?"))</f>
        <v/>
      </c>
      <c r="K67" s="9" t="inlineStr">
        <is>
          <t>N</t>
        </is>
      </c>
      <c r="L67" s="9" t="inlineStr">
        <is>
          <t>24V</t>
        </is>
      </c>
      <c r="M67" s="10" t="n"/>
      <c r="N67" s="11">
        <f>IF(D67="","",IFERROR(INDEX(Connectors!$J$2:$J$1000,MATCH(D67,Connectors!$A$2:$A$1000,0))&amp;"",""))</f>
        <v/>
      </c>
      <c r="O67" s="11">
        <f>IF(F67="","",IFERROR(INDEX(Connectors!$J$2:$J$1000,MATCH(F67,Connectors!$A$2:$A$1000,0))&amp;"",""))</f>
        <v/>
      </c>
      <c r="P67" s="9" t="n"/>
      <c r="Q67" s="9" t="n"/>
      <c r="R67" s="10" t="n"/>
      <c r="S67" s="9" t="inlineStr">
        <is>
          <t>Shutdown Circuit Status Led Signal (Soldar no fio 1k ohm)</t>
        </is>
      </c>
      <c r="T67" s="9" t="inlineStr">
        <is>
          <t>2 pontas</t>
        </is>
      </c>
      <c r="U67" s="9" t="n"/>
      <c r="V67" s="11">
        <f>IF(D67="","",IF(COUNTIF(Connectors!$A$2:$A$1000,D67)=0,"from_ref não existe; ","")&amp;IF(COUNTIF(Connectors!$A$2:$A$1000,F67)=0,"to_ref não existe; ","")&amp;IF(AND(H67&lt;&gt;"",COUNTIF(Lists!$A$3:$A$14,H67)=0),"cor inválida; ","")&amp;IF(H67="","sem cor; ","")&amp;IF((K67="Y")&lt;&gt;(H67="OG"),"HV e laranja não batem; ","")&amp;IF(AND(K67="Y",OR(IFERROR(INDEX(Connectors!$F$2:$F$1000,MATCH(D67,Connectors!$A$2:$A$1000,0)),"")&lt;&gt;"Y",IFERROR(INDEX(Connectors!$F$2:$F$1000,MATCH(F67,Connectors!$A$2:$A$1000,0)),"")&lt;&gt;"Y")),"fio HV em ficha não HV rated; ","")&amp;IF(AND(COUNTIF($W$2:$W$1000,W67)+COUNTIF($X$2:$X$1000,W67)&gt;1,ISERROR(MATCH(IFERROR(INDEX(Connectors!$D$2:$D$1000,MATCH(D67,Connectors!$A$2:$A$1000,0)),""),{"SPLICE","STUD"},0))),"pino from com &gt;1 fio; ","")&amp;IF(AND(COUNTIF($W$2:$W$1000,X67)+COUNTIF($X$2:$X$1000,X67)&gt;1,ISERROR(MATCH(IFERROR(INDEX(Connectors!$D$2:$D$1000,MATCH(F67,Connectors!$A$2:$A$1000,0)),""),{"SPLICE","STUD"},0))),"pino to com &gt;1 fio; ","")&amp;IF(I67="","sem secção; ",""))</f>
        <v/>
      </c>
      <c r="W67" s="11">
        <f>IF(D67="","",D67&amp;":"&amp;E67&amp;IF(EXACT(E67,UPPER(E67)),"","|lc"))</f>
        <v/>
      </c>
      <c r="X67" s="11">
        <f>IF(F67="","",F67&amp;":"&amp;G67&amp;IF(EXACT(G67,UPPER(G67)),"","|lc"))</f>
        <v/>
      </c>
      <c r="Y67" s="9" t="n"/>
      <c r="Z67" s="9" t="n"/>
    </row>
    <row r="68">
      <c r="A68" s="12" t="inlineStr">
        <is>
          <t>W-DATABOX-067</t>
        </is>
      </c>
      <c r="B68" s="9" t="inlineStr">
        <is>
          <t>DATABOX</t>
        </is>
      </c>
      <c r="C68" s="9" t="inlineStr">
        <is>
          <t>SDC_LED_GND</t>
        </is>
      </c>
      <c r="D68" s="9" t="inlineStr">
        <is>
          <t>SDC LED J1</t>
        </is>
      </c>
      <c r="E68" s="9" t="inlineStr">
        <is>
          <t>2</t>
        </is>
      </c>
      <c r="F68" s="9" t="inlineStr">
        <is>
          <t>ACQUISITION J3</t>
        </is>
      </c>
      <c r="G68" s="9" t="inlineStr">
        <is>
          <t>12</t>
        </is>
      </c>
      <c r="H68" s="9" t="inlineStr">
        <is>
          <t>BK</t>
        </is>
      </c>
      <c r="I68" s="10" t="n"/>
      <c r="J68" s="11">
        <f>IF(I68="","",IFERROR(INDEX(Lists!$F$3:$F$17,MATCH(I68,Lists!$E$3:$E$17,0)),"?"))</f>
        <v/>
      </c>
      <c r="K68" s="9" t="inlineStr">
        <is>
          <t>N</t>
        </is>
      </c>
      <c r="L68" s="9" t="inlineStr">
        <is>
          <t>0V</t>
        </is>
      </c>
      <c r="M68" s="10" t="n"/>
      <c r="N68" s="11">
        <f>IF(D68="","",IFERROR(INDEX(Connectors!$J$2:$J$1000,MATCH(D68,Connectors!$A$2:$A$1000,0))&amp;"",""))</f>
        <v/>
      </c>
      <c r="O68" s="11">
        <f>IF(F68="","",IFERROR(INDEX(Connectors!$J$2:$J$1000,MATCH(F68,Connectors!$A$2:$A$1000,0))&amp;"",""))</f>
        <v/>
      </c>
      <c r="P68" s="9" t="n"/>
      <c r="Q68" s="9" t="n"/>
      <c r="R68" s="10" t="n"/>
      <c r="S68" s="9" t="inlineStr">
        <is>
          <t>Shutdown Circuit Status Led Ground</t>
        </is>
      </c>
      <c r="T68" s="9" t="inlineStr">
        <is>
          <t>1 ponta (folha LEDS)</t>
        </is>
      </c>
      <c r="U68" s="12" t="inlineStr">
        <is>
          <t>I-06</t>
        </is>
      </c>
      <c r="V68" s="11">
        <f>IF(D68="","",IF(COUNTIF(Connectors!$A$2:$A$1000,D68)=0,"from_ref não existe; ","")&amp;IF(COUNTIF(Connectors!$A$2:$A$1000,F68)=0,"to_ref não existe; ","")&amp;IF(AND(H68&lt;&gt;"",COUNTIF(Lists!$A$3:$A$14,H68)=0),"cor inválida; ","")&amp;IF(H68="","sem cor; ","")&amp;IF((K68="Y")&lt;&gt;(H68="OG"),"HV e laranja não batem; ","")&amp;IF(AND(K68="Y",OR(IFERROR(INDEX(Connectors!$F$2:$F$1000,MATCH(D68,Connectors!$A$2:$A$1000,0)),"")&lt;&gt;"Y",IFERROR(INDEX(Connectors!$F$2:$F$1000,MATCH(F68,Connectors!$A$2:$A$1000,0)),"")&lt;&gt;"Y")),"fio HV em ficha não HV rated; ","")&amp;IF(AND(COUNTIF($W$2:$W$1000,W68)+COUNTIF($X$2:$X$1000,W68)&gt;1,ISERROR(MATCH(IFERROR(INDEX(Connectors!$D$2:$D$1000,MATCH(D68,Connectors!$A$2:$A$1000,0)),""),{"SPLICE","STUD"},0))),"pino from com &gt;1 fio; ","")&amp;IF(AND(COUNTIF($W$2:$W$1000,X68)+COUNTIF($X$2:$X$1000,X68)&gt;1,ISERROR(MATCH(IFERROR(INDEX(Connectors!$D$2:$D$1000,MATCH(F68,Connectors!$A$2:$A$1000,0)),""),{"SPLICE","STUD"},0))),"pino to com &gt;1 fio; ","")&amp;IF(I68="","sem secção; ",""))</f>
        <v/>
      </c>
      <c r="W68" s="11">
        <f>IF(D68="","",D68&amp;":"&amp;E68&amp;IF(EXACT(E68,UPPER(E68)),"","|lc"))</f>
        <v/>
      </c>
      <c r="X68" s="11">
        <f>IF(F68="","",F68&amp;":"&amp;G68&amp;IF(EXACT(G68,UPPER(G68)),"","|lc"))</f>
        <v/>
      </c>
      <c r="Y68" s="9" t="n"/>
      <c r="Z68" s="9" t="n"/>
    </row>
    <row r="69">
      <c r="A69" s="9" t="inlineStr">
        <is>
          <t>W-DATABOX-068</t>
        </is>
      </c>
      <c r="B69" s="9" t="inlineStr">
        <is>
          <t>DATABOX</t>
        </is>
      </c>
      <c r="C69" s="9" t="inlineStr">
        <is>
          <t>LV_ON_LED_SIGNAL</t>
        </is>
      </c>
      <c r="D69" s="9" t="inlineStr">
        <is>
          <t>DATABOX J2</t>
        </is>
      </c>
      <c r="E69" s="9" t="inlineStr">
        <is>
          <t>K</t>
        </is>
      </c>
      <c r="F69" s="9" t="inlineStr">
        <is>
          <t>LV ON LED J1</t>
        </is>
      </c>
      <c r="G69" s="9" t="inlineStr">
        <is>
          <t>1</t>
        </is>
      </c>
      <c r="H69" s="9" t="inlineStr">
        <is>
          <t>WH</t>
        </is>
      </c>
      <c r="I69" s="10" t="n"/>
      <c r="J69" s="11">
        <f>IF(I69="","",IFERROR(INDEX(Lists!$F$3:$F$17,MATCH(I69,Lists!$E$3:$E$17,0)),"?"))</f>
        <v/>
      </c>
      <c r="K69" s="9" t="inlineStr">
        <is>
          <t>N</t>
        </is>
      </c>
      <c r="L69" s="9" t="inlineStr">
        <is>
          <t>24V</t>
        </is>
      </c>
      <c r="M69" s="10" t="n"/>
      <c r="N69" s="11">
        <f>IF(D69="","",IFERROR(INDEX(Connectors!$J$2:$J$1000,MATCH(D69,Connectors!$A$2:$A$1000,0))&amp;"",""))</f>
        <v/>
      </c>
      <c r="O69" s="11">
        <f>IF(F69="","",IFERROR(INDEX(Connectors!$J$2:$J$1000,MATCH(F69,Connectors!$A$2:$A$1000,0))&amp;"",""))</f>
        <v/>
      </c>
      <c r="P69" s="9" t="n"/>
      <c r="Q69" s="9" t="n"/>
      <c r="R69" s="10" t="n"/>
      <c r="S69" s="9" t="inlineStr">
        <is>
          <t>LV ON Led Signal</t>
        </is>
      </c>
      <c r="T69" s="9" t="inlineStr">
        <is>
          <t>2 pontas</t>
        </is>
      </c>
      <c r="U69" s="9" t="n"/>
      <c r="V69" s="11">
        <f>IF(D69="","",IF(COUNTIF(Connectors!$A$2:$A$1000,D69)=0,"from_ref não existe; ","")&amp;IF(COUNTIF(Connectors!$A$2:$A$1000,F69)=0,"to_ref não existe; ","")&amp;IF(AND(H69&lt;&gt;"",COUNTIF(Lists!$A$3:$A$14,H69)=0),"cor inválida; ","")&amp;IF(H69="","sem cor; ","")&amp;IF((K69="Y")&lt;&gt;(H69="OG"),"HV e laranja não batem; ","")&amp;IF(AND(K69="Y",OR(IFERROR(INDEX(Connectors!$F$2:$F$1000,MATCH(D69,Connectors!$A$2:$A$1000,0)),"")&lt;&gt;"Y",IFERROR(INDEX(Connectors!$F$2:$F$1000,MATCH(F69,Connectors!$A$2:$A$1000,0)),"")&lt;&gt;"Y")),"fio HV em ficha não HV rated; ","")&amp;IF(AND(COUNTIF($W$2:$W$1000,W69)+COUNTIF($X$2:$X$1000,W69)&gt;1,ISERROR(MATCH(IFERROR(INDEX(Connectors!$D$2:$D$1000,MATCH(D69,Connectors!$A$2:$A$1000,0)),""),{"SPLICE","STUD"},0))),"pino from com &gt;1 fio; ","")&amp;IF(AND(COUNTIF($W$2:$W$1000,X69)+COUNTIF($X$2:$X$1000,X69)&gt;1,ISERROR(MATCH(IFERROR(INDEX(Connectors!$D$2:$D$1000,MATCH(F69,Connectors!$A$2:$A$1000,0)),""),{"SPLICE","STUD"},0))),"pino to com &gt;1 fio; ","")&amp;IF(I69="","sem secção; ",""))</f>
        <v/>
      </c>
      <c r="W69" s="11">
        <f>IF(D69="","",D69&amp;":"&amp;E69&amp;IF(EXACT(E69,UPPER(E69)),"","|lc"))</f>
        <v/>
      </c>
      <c r="X69" s="11">
        <f>IF(F69="","",F69&amp;":"&amp;G69&amp;IF(EXACT(G69,UPPER(G69)),"","|lc"))</f>
        <v/>
      </c>
      <c r="Y69" s="9" t="n"/>
      <c r="Z69" s="9" t="n"/>
    </row>
    <row r="70">
      <c r="A70" s="12" t="inlineStr">
        <is>
          <t>W-DATABOX-069</t>
        </is>
      </c>
      <c r="B70" s="9" t="inlineStr">
        <is>
          <t>DATABOX</t>
        </is>
      </c>
      <c r="C70" s="9" t="inlineStr">
        <is>
          <t>LV_ON_LED_GND</t>
        </is>
      </c>
      <c r="D70" s="9" t="inlineStr">
        <is>
          <t>LV ON LED J1</t>
        </is>
      </c>
      <c r="E70" s="9" t="inlineStr">
        <is>
          <t>2</t>
        </is>
      </c>
      <c r="F70" s="9" t="inlineStr">
        <is>
          <t>ACQUISITION J3</t>
        </is>
      </c>
      <c r="G70" s="9" t="inlineStr">
        <is>
          <t>12</t>
        </is>
      </c>
      <c r="H70" s="9" t="inlineStr">
        <is>
          <t>BK</t>
        </is>
      </c>
      <c r="I70" s="10" t="n"/>
      <c r="J70" s="11">
        <f>IF(I70="","",IFERROR(INDEX(Lists!$F$3:$F$17,MATCH(I70,Lists!$E$3:$E$17,0)),"?"))</f>
        <v/>
      </c>
      <c r="K70" s="9" t="inlineStr">
        <is>
          <t>N</t>
        </is>
      </c>
      <c r="L70" s="9" t="inlineStr">
        <is>
          <t>0V</t>
        </is>
      </c>
      <c r="M70" s="10" t="n"/>
      <c r="N70" s="11">
        <f>IF(D70="","",IFERROR(INDEX(Connectors!$J$2:$J$1000,MATCH(D70,Connectors!$A$2:$A$1000,0))&amp;"",""))</f>
        <v/>
      </c>
      <c r="O70" s="11">
        <f>IF(F70="","",IFERROR(INDEX(Connectors!$J$2:$J$1000,MATCH(F70,Connectors!$A$2:$A$1000,0))&amp;"",""))</f>
        <v/>
      </c>
      <c r="P70" s="9" t="n"/>
      <c r="Q70" s="9" t="n"/>
      <c r="R70" s="10" t="n"/>
      <c r="S70" s="9" t="inlineStr">
        <is>
          <t>LV ON Led Ground</t>
        </is>
      </c>
      <c r="T70" s="9" t="inlineStr">
        <is>
          <t>1 ponta (folha LEDS)</t>
        </is>
      </c>
      <c r="U70" s="12" t="inlineStr">
        <is>
          <t>I-06</t>
        </is>
      </c>
      <c r="V70" s="11">
        <f>IF(D70="","",IF(COUNTIF(Connectors!$A$2:$A$1000,D70)=0,"from_ref não existe; ","")&amp;IF(COUNTIF(Connectors!$A$2:$A$1000,F70)=0,"to_ref não existe; ","")&amp;IF(AND(H70&lt;&gt;"",COUNTIF(Lists!$A$3:$A$14,H70)=0),"cor inválida; ","")&amp;IF(H70="","sem cor; ","")&amp;IF((K70="Y")&lt;&gt;(H70="OG"),"HV e laranja não batem; ","")&amp;IF(AND(K70="Y",OR(IFERROR(INDEX(Connectors!$F$2:$F$1000,MATCH(D70,Connectors!$A$2:$A$1000,0)),"")&lt;&gt;"Y",IFERROR(INDEX(Connectors!$F$2:$F$1000,MATCH(F70,Connectors!$A$2:$A$1000,0)),"")&lt;&gt;"Y")),"fio HV em ficha não HV rated; ","")&amp;IF(AND(COUNTIF($W$2:$W$1000,W70)+COUNTIF($X$2:$X$1000,W70)&gt;1,ISERROR(MATCH(IFERROR(INDEX(Connectors!$D$2:$D$1000,MATCH(D70,Connectors!$A$2:$A$1000,0)),""),{"SPLICE","STUD"},0))),"pino from com &gt;1 fio; ","")&amp;IF(AND(COUNTIF($W$2:$W$1000,X70)+COUNTIF($X$2:$X$1000,X70)&gt;1,ISERROR(MATCH(IFERROR(INDEX(Connectors!$D$2:$D$1000,MATCH(F70,Connectors!$A$2:$A$1000,0)),""),{"SPLICE","STUD"},0))),"pino to com &gt;1 fio; ","")&amp;IF(I70="","sem secção; ",""))</f>
        <v/>
      </c>
      <c r="W70" s="11">
        <f>IF(D70="","",D70&amp;":"&amp;E70&amp;IF(EXACT(E70,UPPER(E70)),"","|lc"))</f>
        <v/>
      </c>
      <c r="X70" s="11">
        <f>IF(F70="","",F70&amp;":"&amp;G70&amp;IF(EXACT(G70,UPPER(G70)),"","|lc"))</f>
        <v/>
      </c>
      <c r="Y70" s="9" t="n"/>
      <c r="Z70" s="9" t="n"/>
    </row>
    <row r="71">
      <c r="A71" s="12" t="inlineStr">
        <is>
          <t>W-DATABOX-070</t>
        </is>
      </c>
      <c r="B71" s="9" t="inlineStr">
        <is>
          <t>DATABOX</t>
        </is>
      </c>
      <c r="C71" s="9" t="inlineStr">
        <is>
          <t>TS_ON_LED_GND</t>
        </is>
      </c>
      <c r="D71" s="9" t="inlineStr">
        <is>
          <t>TS ON LED J1</t>
        </is>
      </c>
      <c r="E71" s="9" t="inlineStr">
        <is>
          <t>2</t>
        </is>
      </c>
      <c r="F71" s="9" t="inlineStr">
        <is>
          <t>ACQUISITION J3</t>
        </is>
      </c>
      <c r="G71" s="9" t="inlineStr">
        <is>
          <t>12</t>
        </is>
      </c>
      <c r="H71" s="9" t="inlineStr">
        <is>
          <t>BK</t>
        </is>
      </c>
      <c r="I71" s="10" t="n"/>
      <c r="J71" s="11">
        <f>IF(I71="","",IFERROR(INDEX(Lists!$F$3:$F$17,MATCH(I71,Lists!$E$3:$E$17,0)),"?"))</f>
        <v/>
      </c>
      <c r="K71" s="9" t="inlineStr">
        <is>
          <t>N</t>
        </is>
      </c>
      <c r="L71" s="9" t="inlineStr">
        <is>
          <t>0V</t>
        </is>
      </c>
      <c r="M71" s="10" t="n"/>
      <c r="N71" s="11">
        <f>IF(D71="","",IFERROR(INDEX(Connectors!$J$2:$J$1000,MATCH(D71,Connectors!$A$2:$A$1000,0))&amp;"",""))</f>
        <v/>
      </c>
      <c r="O71" s="11">
        <f>IF(F71="","",IFERROR(INDEX(Connectors!$J$2:$J$1000,MATCH(F71,Connectors!$A$2:$A$1000,0))&amp;"",""))</f>
        <v/>
      </c>
      <c r="P71" s="9" t="n"/>
      <c r="Q71" s="9" t="n"/>
      <c r="R71" s="10" t="n"/>
      <c r="S71" s="9" t="inlineStr">
        <is>
          <t>TS On Led Ground</t>
        </is>
      </c>
      <c r="T71" s="9" t="inlineStr">
        <is>
          <t>1 ponta (folha LEDS)</t>
        </is>
      </c>
      <c r="U71" s="12" t="inlineStr">
        <is>
          <t>I-06</t>
        </is>
      </c>
      <c r="V71" s="11">
        <f>IF(D71="","",IF(COUNTIF(Connectors!$A$2:$A$1000,D71)=0,"from_ref não existe; ","")&amp;IF(COUNTIF(Connectors!$A$2:$A$1000,F71)=0,"to_ref não existe; ","")&amp;IF(AND(H71&lt;&gt;"",COUNTIF(Lists!$A$3:$A$14,H71)=0),"cor inválida; ","")&amp;IF(H71="","sem cor; ","")&amp;IF((K71="Y")&lt;&gt;(H71="OG"),"HV e laranja não batem; ","")&amp;IF(AND(K71="Y",OR(IFERROR(INDEX(Connectors!$F$2:$F$1000,MATCH(D71,Connectors!$A$2:$A$1000,0)),"")&lt;&gt;"Y",IFERROR(INDEX(Connectors!$F$2:$F$1000,MATCH(F71,Connectors!$A$2:$A$1000,0)),"")&lt;&gt;"Y")),"fio HV em ficha não HV rated; ","")&amp;IF(AND(COUNTIF($W$2:$W$1000,W71)+COUNTIF($X$2:$X$1000,W71)&gt;1,ISERROR(MATCH(IFERROR(INDEX(Connectors!$D$2:$D$1000,MATCH(D71,Connectors!$A$2:$A$1000,0)),""),{"SPLICE","STUD"},0))),"pino from com &gt;1 fio; ","")&amp;IF(AND(COUNTIF($W$2:$W$1000,X71)+COUNTIF($X$2:$X$1000,X71)&gt;1,ISERROR(MATCH(IFERROR(INDEX(Connectors!$D$2:$D$1000,MATCH(F71,Connectors!$A$2:$A$1000,0)),""),{"SPLICE","STUD"},0))),"pino to com &gt;1 fio; ","")&amp;IF(I71="","sem secção; ",""))</f>
        <v/>
      </c>
      <c r="W71" s="11">
        <f>IF(D71="","",D71&amp;":"&amp;E71&amp;IF(EXACT(E71,UPPER(E71)),"","|lc"))</f>
        <v/>
      </c>
      <c r="X71" s="11">
        <f>IF(F71="","",F71&amp;":"&amp;G71&amp;IF(EXACT(G71,UPPER(G71)),"","|lc"))</f>
        <v/>
      </c>
      <c r="Y71" s="9" t="n"/>
      <c r="Z71" s="9" t="n"/>
    </row>
    <row r="72">
      <c r="A72" s="9" t="inlineStr">
        <is>
          <t>W-DATABOX-071</t>
        </is>
      </c>
      <c r="B72" s="9" t="inlineStr">
        <is>
          <t>DATABOX</t>
        </is>
      </c>
      <c r="C72" s="9" t="inlineStr">
        <is>
          <t>FAN_24V</t>
        </is>
      </c>
      <c r="D72" s="9" t="inlineStr">
        <is>
          <t>DATABOX J2</t>
        </is>
      </c>
      <c r="E72" s="9" t="inlineStr">
        <is>
          <t>A</t>
        </is>
      </c>
      <c r="F72" s="9" t="inlineStr">
        <is>
          <t>FAN J1</t>
        </is>
      </c>
      <c r="G72" s="9" t="inlineStr">
        <is>
          <t>1</t>
        </is>
      </c>
      <c r="H72" s="9" t="inlineStr">
        <is>
          <t>RD</t>
        </is>
      </c>
      <c r="I72" s="9" t="n">
        <v>0.5</v>
      </c>
      <c r="J72" s="11">
        <f>IF(I72="","",IFERROR(INDEX(Lists!$F$3:$F$17,MATCH(I72,Lists!$E$3:$E$17,0)),"?"))</f>
        <v/>
      </c>
      <c r="K72" s="9" t="inlineStr">
        <is>
          <t>N</t>
        </is>
      </c>
      <c r="L72" s="9" t="inlineStr">
        <is>
          <t>24V</t>
        </is>
      </c>
      <c r="M72" s="10" t="n"/>
      <c r="N72" s="11">
        <f>IF(D72="","",IFERROR(INDEX(Connectors!$J$2:$J$1000,MATCH(D72,Connectors!$A$2:$A$1000,0))&amp;"",""))</f>
        <v/>
      </c>
      <c r="O72" s="11">
        <f>IF(F72="","",IFERROR(INDEX(Connectors!$J$2:$J$1000,MATCH(F72,Connectors!$A$2:$A$1000,0))&amp;"",""))</f>
        <v/>
      </c>
      <c r="P72" s="9" t="n"/>
      <c r="Q72" s="9" t="n"/>
      <c r="R72" s="10" t="n"/>
      <c r="S72" s="9" t="inlineStr">
        <is>
          <t>Power Supply for Fan</t>
        </is>
      </c>
      <c r="T72" s="9" t="inlineStr">
        <is>
          <t>2 pontas</t>
        </is>
      </c>
      <c r="U72" s="9" t="n"/>
      <c r="V72" s="11">
        <f>IF(D72="","",IF(COUNTIF(Connectors!$A$2:$A$1000,D72)=0,"from_ref não existe; ","")&amp;IF(COUNTIF(Connectors!$A$2:$A$1000,F72)=0,"to_ref não existe; ","")&amp;IF(AND(H72&lt;&gt;"",COUNTIF(Lists!$A$3:$A$14,H72)=0),"cor inválida; ","")&amp;IF(H72="","sem cor; ","")&amp;IF((K72="Y")&lt;&gt;(H72="OG"),"HV e laranja não batem; ","")&amp;IF(AND(K72="Y",OR(IFERROR(INDEX(Connectors!$F$2:$F$1000,MATCH(D72,Connectors!$A$2:$A$1000,0)),"")&lt;&gt;"Y",IFERROR(INDEX(Connectors!$F$2:$F$1000,MATCH(F72,Connectors!$A$2:$A$1000,0)),"")&lt;&gt;"Y")),"fio HV em ficha não HV rated; ","")&amp;IF(AND(COUNTIF($W$2:$W$1000,W72)+COUNTIF($X$2:$X$1000,W72)&gt;1,ISERROR(MATCH(IFERROR(INDEX(Connectors!$D$2:$D$1000,MATCH(D72,Connectors!$A$2:$A$1000,0)),""),{"SPLICE","STUD"},0))),"pino from com &gt;1 fio; ","")&amp;IF(AND(COUNTIF($W$2:$W$1000,X72)+COUNTIF($X$2:$X$1000,X72)&gt;1,ISERROR(MATCH(IFERROR(INDEX(Connectors!$D$2:$D$1000,MATCH(F72,Connectors!$A$2:$A$1000,0)),""),{"SPLICE","STUD"},0))),"pino to com &gt;1 fio; ","")&amp;IF(I72="","sem secção; ",""))</f>
        <v/>
      </c>
      <c r="W72" s="11">
        <f>IF(D72="","",D72&amp;":"&amp;E72&amp;IF(EXACT(E72,UPPER(E72)),"","|lc"))</f>
        <v/>
      </c>
      <c r="X72" s="11">
        <f>IF(F72="","",F72&amp;":"&amp;G72&amp;IF(EXACT(G72,UPPER(G72)),"","|lc"))</f>
        <v/>
      </c>
      <c r="Y72" s="9" t="n"/>
      <c r="Z72" s="9" t="n"/>
    </row>
    <row r="73">
      <c r="A73" s="9" t="inlineStr">
        <is>
          <t>W-DATABOX-072</t>
        </is>
      </c>
      <c r="B73" s="9" t="inlineStr">
        <is>
          <t>DATABOX</t>
        </is>
      </c>
      <c r="C73" s="9" t="inlineStr">
        <is>
          <t>FAN_GND</t>
        </is>
      </c>
      <c r="D73" s="9" t="inlineStr">
        <is>
          <t>DATABOX J2</t>
        </is>
      </c>
      <c r="E73" s="9" t="inlineStr">
        <is>
          <t>B</t>
        </is>
      </c>
      <c r="F73" s="9" t="inlineStr">
        <is>
          <t>FAN J1</t>
        </is>
      </c>
      <c r="G73" s="9" t="inlineStr">
        <is>
          <t>2</t>
        </is>
      </c>
      <c r="H73" s="9" t="inlineStr">
        <is>
          <t>BK</t>
        </is>
      </c>
      <c r="I73" s="9" t="n">
        <v>0.5</v>
      </c>
      <c r="J73" s="11">
        <f>IF(I73="","",IFERROR(INDEX(Lists!$F$3:$F$17,MATCH(I73,Lists!$E$3:$E$17,0)),"?"))</f>
        <v/>
      </c>
      <c r="K73" s="9" t="inlineStr">
        <is>
          <t>N</t>
        </is>
      </c>
      <c r="L73" s="9" t="inlineStr">
        <is>
          <t>0V</t>
        </is>
      </c>
      <c r="M73" s="10" t="n"/>
      <c r="N73" s="11">
        <f>IF(D73="","",IFERROR(INDEX(Connectors!$J$2:$J$1000,MATCH(D73,Connectors!$A$2:$A$1000,0))&amp;"",""))</f>
        <v/>
      </c>
      <c r="O73" s="11">
        <f>IF(F73="","",IFERROR(INDEX(Connectors!$J$2:$J$1000,MATCH(F73,Connectors!$A$2:$A$1000,0))&amp;"",""))</f>
        <v/>
      </c>
      <c r="P73" s="9" t="n"/>
      <c r="Q73" s="9" t="n"/>
      <c r="R73" s="10" t="n"/>
      <c r="S73" s="9" t="inlineStr">
        <is>
          <t>FAN Ground Supply</t>
        </is>
      </c>
      <c r="T73" s="9" t="inlineStr">
        <is>
          <t>2 pontas</t>
        </is>
      </c>
      <c r="U73" s="9" t="n"/>
      <c r="V73" s="11">
        <f>IF(D73="","",IF(COUNTIF(Connectors!$A$2:$A$1000,D73)=0,"from_ref não existe; ","")&amp;IF(COUNTIF(Connectors!$A$2:$A$1000,F73)=0,"to_ref não existe; ","")&amp;IF(AND(H73&lt;&gt;"",COUNTIF(Lists!$A$3:$A$14,H73)=0),"cor inválida; ","")&amp;IF(H73="","sem cor; ","")&amp;IF((K73="Y")&lt;&gt;(H73="OG"),"HV e laranja não batem; ","")&amp;IF(AND(K73="Y",OR(IFERROR(INDEX(Connectors!$F$2:$F$1000,MATCH(D73,Connectors!$A$2:$A$1000,0)),"")&lt;&gt;"Y",IFERROR(INDEX(Connectors!$F$2:$F$1000,MATCH(F73,Connectors!$A$2:$A$1000,0)),"")&lt;&gt;"Y")),"fio HV em ficha não HV rated; ","")&amp;IF(AND(COUNTIF($W$2:$W$1000,W73)+COUNTIF($X$2:$X$1000,W73)&gt;1,ISERROR(MATCH(IFERROR(INDEX(Connectors!$D$2:$D$1000,MATCH(D73,Connectors!$A$2:$A$1000,0)),""),{"SPLICE","STUD"},0))),"pino from com &gt;1 fio; ","")&amp;IF(AND(COUNTIF($W$2:$W$1000,X73)+COUNTIF($X$2:$X$1000,X73)&gt;1,ISERROR(MATCH(IFERROR(INDEX(Connectors!$D$2:$D$1000,MATCH(F73,Connectors!$A$2:$A$1000,0)),""),{"SPLICE","STUD"},0))),"pino to com &gt;1 fio; ","")&amp;IF(I73="","sem secção; ",""))</f>
        <v/>
      </c>
      <c r="W73" s="11">
        <f>IF(D73="","",D73&amp;":"&amp;E73&amp;IF(EXACT(E73,UPPER(E73)),"","|lc"))</f>
        <v/>
      </c>
      <c r="X73" s="11">
        <f>IF(F73="","",F73&amp;":"&amp;G73&amp;IF(EXACT(G73,UPPER(G73)),"","|lc"))</f>
        <v/>
      </c>
      <c r="Y73" s="9" t="n"/>
      <c r="Z73" s="9" t="n"/>
    </row>
    <row r="74">
      <c r="A74" s="12" t="inlineStr">
        <is>
          <t>W-DATABOX-073</t>
        </is>
      </c>
      <c r="B74" s="9" t="inlineStr">
        <is>
          <t>DATABOX</t>
        </is>
      </c>
      <c r="C74" s="9" t="inlineStr">
        <is>
          <t>ENCODER_A_SUPPLY</t>
        </is>
      </c>
      <c r="D74" s="9" t="inlineStr">
        <is>
          <t>DATABOX J1</t>
        </is>
      </c>
      <c r="E74" s="9" t="inlineStr">
        <is>
          <t>W</t>
        </is>
      </c>
      <c r="F74" s="9" t="inlineStr">
        <is>
          <t>RASPBERRY J6</t>
        </is>
      </c>
      <c r="G74" s="9" t="inlineStr">
        <is>
          <t>2</t>
        </is>
      </c>
      <c r="H74" s="9" t="inlineStr">
        <is>
          <t>YE</t>
        </is>
      </c>
      <c r="I74" s="10" t="n"/>
      <c r="J74" s="11">
        <f>IF(I74="","",IFERROR(INDEX(Lists!$F$3:$F$17,MATCH(I74,Lists!$E$3:$E$17,0)),"?"))</f>
        <v/>
      </c>
      <c r="K74" s="9" t="inlineStr">
        <is>
          <t>N</t>
        </is>
      </c>
      <c r="L74" s="9" t="inlineStr">
        <is>
          <t>5V</t>
        </is>
      </c>
      <c r="M74" s="10" t="n"/>
      <c r="N74" s="11">
        <f>IF(D74="","",IFERROR(INDEX(Connectors!$J$2:$J$1000,MATCH(D74,Connectors!$A$2:$A$1000,0))&amp;"",""))</f>
        <v/>
      </c>
      <c r="O74" s="11">
        <f>IF(F74="","",IFERROR(INDEX(Connectors!$J$2:$J$1000,MATCH(F74,Connectors!$A$2:$A$1000,0))&amp;"",""))</f>
        <v/>
      </c>
      <c r="P74" s="9" t="n"/>
      <c r="Q74" s="9" t="n"/>
      <c r="R74" s="10" t="n"/>
      <c r="S74" s="9" t="inlineStr">
        <is>
          <t>Rotory Encoder A Supply</t>
        </is>
      </c>
      <c r="T74" s="9" t="inlineStr">
        <is>
          <t>1 ponta (folha DataBox J1)</t>
        </is>
      </c>
      <c r="U74" s="12" t="inlineStr">
        <is>
          <t>I-07, I-20</t>
        </is>
      </c>
      <c r="V74" s="11">
        <f>IF(D74="","",IF(COUNTIF(Connectors!$A$2:$A$1000,D74)=0,"from_ref não existe; ","")&amp;IF(COUNTIF(Connectors!$A$2:$A$1000,F74)=0,"to_ref não existe; ","")&amp;IF(AND(H74&lt;&gt;"",COUNTIF(Lists!$A$3:$A$14,H74)=0),"cor inválida; ","")&amp;IF(H74="","sem cor; ","")&amp;IF((K74="Y")&lt;&gt;(H74="OG"),"HV e laranja não batem; ","")&amp;IF(AND(K74="Y",OR(IFERROR(INDEX(Connectors!$F$2:$F$1000,MATCH(D74,Connectors!$A$2:$A$1000,0)),"")&lt;&gt;"Y",IFERROR(INDEX(Connectors!$F$2:$F$1000,MATCH(F74,Connectors!$A$2:$A$1000,0)),"")&lt;&gt;"Y")),"fio HV em ficha não HV rated; ","")&amp;IF(AND(COUNTIF($W$2:$W$1000,W74)+COUNTIF($X$2:$X$1000,W74)&gt;1,ISERROR(MATCH(IFERROR(INDEX(Connectors!$D$2:$D$1000,MATCH(D74,Connectors!$A$2:$A$1000,0)),""),{"SPLICE","STUD"},0))),"pino from com &gt;1 fio; ","")&amp;IF(AND(COUNTIF($W$2:$W$1000,X74)+COUNTIF($X$2:$X$1000,X74)&gt;1,ISERROR(MATCH(IFERROR(INDEX(Connectors!$D$2:$D$1000,MATCH(F74,Connectors!$A$2:$A$1000,0)),""),{"SPLICE","STUD"},0))),"pino to com &gt;1 fio; ","")&amp;IF(I74="","sem secção; ",""))</f>
        <v/>
      </c>
      <c r="W74" s="11">
        <f>IF(D74="","",D74&amp;":"&amp;E74&amp;IF(EXACT(E74,UPPER(E74)),"","|lc"))</f>
        <v/>
      </c>
      <c r="X74" s="11">
        <f>IF(F74="","",F74&amp;":"&amp;G74&amp;IF(EXACT(G74,UPPER(G74)),"","|lc"))</f>
        <v/>
      </c>
      <c r="Y74" s="9" t="n"/>
      <c r="Z74" s="9" t="n"/>
    </row>
    <row r="75">
      <c r="A75" s="12" t="inlineStr">
        <is>
          <t>W-DATABOX-074</t>
        </is>
      </c>
      <c r="B75" s="9" t="inlineStr">
        <is>
          <t>DATABOX</t>
        </is>
      </c>
      <c r="C75" s="9" t="inlineStr">
        <is>
          <t>ENCODER_A_DATA</t>
        </is>
      </c>
      <c r="D75" s="9" t="inlineStr">
        <is>
          <t>DATABOX J1</t>
        </is>
      </c>
      <c r="E75" s="9" t="inlineStr">
        <is>
          <t>X</t>
        </is>
      </c>
      <c r="F75" s="9" t="inlineStr">
        <is>
          <t>RASPBERRY J6</t>
        </is>
      </c>
      <c r="G75" s="9" t="inlineStr">
        <is>
          <t>16</t>
        </is>
      </c>
      <c r="H75" s="9" t="inlineStr">
        <is>
          <t>WH</t>
        </is>
      </c>
      <c r="I75" s="10" t="n"/>
      <c r="J75" s="11">
        <f>IF(I75="","",IFERROR(INDEX(Lists!$F$3:$F$17,MATCH(I75,Lists!$E$3:$E$17,0)),"?"))</f>
        <v/>
      </c>
      <c r="K75" s="9" t="inlineStr">
        <is>
          <t>N</t>
        </is>
      </c>
      <c r="L75" s="9" t="inlineStr">
        <is>
          <t>5V</t>
        </is>
      </c>
      <c r="M75" s="10" t="n"/>
      <c r="N75" s="11">
        <f>IF(D75="","",IFERROR(INDEX(Connectors!$J$2:$J$1000,MATCH(D75,Connectors!$A$2:$A$1000,0))&amp;"",""))</f>
        <v/>
      </c>
      <c r="O75" s="11">
        <f>IF(F75="","",IFERROR(INDEX(Connectors!$J$2:$J$1000,MATCH(F75,Connectors!$A$2:$A$1000,0))&amp;"",""))</f>
        <v/>
      </c>
      <c r="P75" s="9" t="n"/>
      <c r="Q75" s="9" t="n"/>
      <c r="R75" s="10" t="n"/>
      <c r="S75" s="9" t="inlineStr">
        <is>
          <t>Rotory Encoder A Data Signal</t>
        </is>
      </c>
      <c r="T75" s="9" t="inlineStr">
        <is>
          <t>1 ponta (folha DataBox J1)</t>
        </is>
      </c>
      <c r="U75" s="12" t="inlineStr">
        <is>
          <t>I-14</t>
        </is>
      </c>
      <c r="V75" s="11">
        <f>IF(D75="","",IF(COUNTIF(Connectors!$A$2:$A$1000,D75)=0,"from_ref não existe; ","")&amp;IF(COUNTIF(Connectors!$A$2:$A$1000,F75)=0,"to_ref não existe; ","")&amp;IF(AND(H75&lt;&gt;"",COUNTIF(Lists!$A$3:$A$14,H75)=0),"cor inválida; ","")&amp;IF(H75="","sem cor; ","")&amp;IF((K75="Y")&lt;&gt;(H75="OG"),"HV e laranja não batem; ","")&amp;IF(AND(K75="Y",OR(IFERROR(INDEX(Connectors!$F$2:$F$1000,MATCH(D75,Connectors!$A$2:$A$1000,0)),"")&lt;&gt;"Y",IFERROR(INDEX(Connectors!$F$2:$F$1000,MATCH(F75,Connectors!$A$2:$A$1000,0)),"")&lt;&gt;"Y")),"fio HV em ficha não HV rated; ","")&amp;IF(AND(COUNTIF($W$2:$W$1000,W75)+COUNTIF($X$2:$X$1000,W75)&gt;1,ISERROR(MATCH(IFERROR(INDEX(Connectors!$D$2:$D$1000,MATCH(D75,Connectors!$A$2:$A$1000,0)),""),{"SPLICE","STUD"},0))),"pino from com &gt;1 fio; ","")&amp;IF(AND(COUNTIF($W$2:$W$1000,X75)+COUNTIF($X$2:$X$1000,X75)&gt;1,ISERROR(MATCH(IFERROR(INDEX(Connectors!$D$2:$D$1000,MATCH(F75,Connectors!$A$2:$A$1000,0)),""),{"SPLICE","STUD"},0))),"pino to com &gt;1 fio; ","")&amp;IF(I75="","sem secção; ",""))</f>
        <v/>
      </c>
      <c r="W75" s="11">
        <f>IF(D75="","",D75&amp;":"&amp;E75&amp;IF(EXACT(E75,UPPER(E75)),"","|lc"))</f>
        <v/>
      </c>
      <c r="X75" s="11">
        <f>IF(F75="","",F75&amp;":"&amp;G75&amp;IF(EXACT(G75,UPPER(G75)),"","|lc"))</f>
        <v/>
      </c>
      <c r="Y75" s="9" t="n"/>
      <c r="Z75" s="9" t="n"/>
    </row>
    <row r="76">
      <c r="A76" s="12" t="inlineStr">
        <is>
          <t>W-DATABOX-075</t>
        </is>
      </c>
      <c r="B76" s="9" t="inlineStr">
        <is>
          <t>DATABOX</t>
        </is>
      </c>
      <c r="C76" s="9" t="inlineStr">
        <is>
          <t>ENCODER_A_CLK</t>
        </is>
      </c>
      <c r="D76" s="9" t="inlineStr">
        <is>
          <t>DATABOX J1</t>
        </is>
      </c>
      <c r="E76" s="9" t="inlineStr">
        <is>
          <t>Y</t>
        </is>
      </c>
      <c r="F76" s="9" t="inlineStr">
        <is>
          <t>RASPBERRY J6</t>
        </is>
      </c>
      <c r="G76" s="9" t="inlineStr">
        <is>
          <t>29</t>
        </is>
      </c>
      <c r="H76" s="9" t="inlineStr">
        <is>
          <t>BU</t>
        </is>
      </c>
      <c r="I76" s="10" t="n"/>
      <c r="J76" s="11">
        <f>IF(I76="","",IFERROR(INDEX(Lists!$F$3:$F$17,MATCH(I76,Lists!$E$3:$E$17,0)),"?"))</f>
        <v/>
      </c>
      <c r="K76" s="9" t="inlineStr">
        <is>
          <t>N</t>
        </is>
      </c>
      <c r="L76" s="9" t="inlineStr">
        <is>
          <t>5V</t>
        </is>
      </c>
      <c r="M76" s="10" t="n"/>
      <c r="N76" s="11">
        <f>IF(D76="","",IFERROR(INDEX(Connectors!$J$2:$J$1000,MATCH(D76,Connectors!$A$2:$A$1000,0))&amp;"",""))</f>
        <v/>
      </c>
      <c r="O76" s="11">
        <f>IF(F76="","",IFERROR(INDEX(Connectors!$J$2:$J$1000,MATCH(F76,Connectors!$A$2:$A$1000,0))&amp;"",""))</f>
        <v/>
      </c>
      <c r="P76" s="9" t="n"/>
      <c r="Q76" s="9" t="n"/>
      <c r="R76" s="10" t="n"/>
      <c r="S76" s="9" t="inlineStr">
        <is>
          <t>Rotory Encoder A Clock Signal</t>
        </is>
      </c>
      <c r="T76" s="9" t="inlineStr">
        <is>
          <t>1 ponta (folha DataBox J1)</t>
        </is>
      </c>
      <c r="U76" s="12" t="inlineStr">
        <is>
          <t>I-19</t>
        </is>
      </c>
      <c r="V76" s="11">
        <f>IF(D76="","",IF(COUNTIF(Connectors!$A$2:$A$1000,D76)=0,"from_ref não existe; ","")&amp;IF(COUNTIF(Connectors!$A$2:$A$1000,F76)=0,"to_ref não existe; ","")&amp;IF(AND(H76&lt;&gt;"",COUNTIF(Lists!$A$3:$A$14,H76)=0),"cor inválida; ","")&amp;IF(H76="","sem cor; ","")&amp;IF((K76="Y")&lt;&gt;(H76="OG"),"HV e laranja não batem; ","")&amp;IF(AND(K76="Y",OR(IFERROR(INDEX(Connectors!$F$2:$F$1000,MATCH(D76,Connectors!$A$2:$A$1000,0)),"")&lt;&gt;"Y",IFERROR(INDEX(Connectors!$F$2:$F$1000,MATCH(F76,Connectors!$A$2:$A$1000,0)),"")&lt;&gt;"Y")),"fio HV em ficha não HV rated; ","")&amp;IF(AND(COUNTIF($W$2:$W$1000,W76)+COUNTIF($X$2:$X$1000,W76)&gt;1,ISERROR(MATCH(IFERROR(INDEX(Connectors!$D$2:$D$1000,MATCH(D76,Connectors!$A$2:$A$1000,0)),""),{"SPLICE","STUD"},0))),"pino from com &gt;1 fio; ","")&amp;IF(AND(COUNTIF($W$2:$W$1000,X76)+COUNTIF($X$2:$X$1000,X76)&gt;1,ISERROR(MATCH(IFERROR(INDEX(Connectors!$D$2:$D$1000,MATCH(F76,Connectors!$A$2:$A$1000,0)),""),{"SPLICE","STUD"},0))),"pino to com &gt;1 fio; ","")&amp;IF(I76="","sem secção; ",""))</f>
        <v/>
      </c>
      <c r="W76" s="11">
        <f>IF(D76="","",D76&amp;":"&amp;E76&amp;IF(EXACT(E76,UPPER(E76)),"","|lc"))</f>
        <v/>
      </c>
      <c r="X76" s="11">
        <f>IF(F76="","",F76&amp;":"&amp;G76&amp;IF(EXACT(G76,UPPER(G76)),"","|lc"))</f>
        <v/>
      </c>
      <c r="Y76" s="9" t="n"/>
      <c r="Z76" s="9" t="n"/>
    </row>
    <row r="77">
      <c r="A77" s="12" t="inlineStr">
        <is>
          <t>W-DATABOX-076</t>
        </is>
      </c>
      <c r="B77" s="9" t="inlineStr">
        <is>
          <t>DATABOX</t>
        </is>
      </c>
      <c r="C77" s="9" t="inlineStr">
        <is>
          <t>ENCODER_A_GND</t>
        </is>
      </c>
      <c r="D77" s="9" t="inlineStr">
        <is>
          <t>DATABOX J1</t>
        </is>
      </c>
      <c r="E77" s="9" t="inlineStr">
        <is>
          <t>Z</t>
        </is>
      </c>
      <c r="F77" s="9" t="inlineStr">
        <is>
          <t>RASPBERRY J6</t>
        </is>
      </c>
      <c r="G77" s="9" t="inlineStr">
        <is>
          <t>6</t>
        </is>
      </c>
      <c r="H77" s="9" t="inlineStr">
        <is>
          <t>BK</t>
        </is>
      </c>
      <c r="I77" s="10" t="n"/>
      <c r="J77" s="11">
        <f>IF(I77="","",IFERROR(INDEX(Lists!$F$3:$F$17,MATCH(I77,Lists!$E$3:$E$17,0)),"?"))</f>
        <v/>
      </c>
      <c r="K77" s="9" t="inlineStr">
        <is>
          <t>N</t>
        </is>
      </c>
      <c r="L77" s="9" t="inlineStr">
        <is>
          <t>0V</t>
        </is>
      </c>
      <c r="M77" s="10" t="n"/>
      <c r="N77" s="11">
        <f>IF(D77="","",IFERROR(INDEX(Connectors!$J$2:$J$1000,MATCH(D77,Connectors!$A$2:$A$1000,0))&amp;"",""))</f>
        <v/>
      </c>
      <c r="O77" s="11">
        <f>IF(F77="","",IFERROR(INDEX(Connectors!$J$2:$J$1000,MATCH(F77,Connectors!$A$2:$A$1000,0))&amp;"",""))</f>
        <v/>
      </c>
      <c r="P77" s="9" t="n"/>
      <c r="Q77" s="9" t="n"/>
      <c r="R77" s="10" t="n"/>
      <c r="S77" s="9" t="inlineStr">
        <is>
          <t>Rotory Encoder A Ground</t>
        </is>
      </c>
      <c r="T77" s="9" t="inlineStr">
        <is>
          <t>1 ponta (folha DataBox J1)</t>
        </is>
      </c>
      <c r="U77" s="12" t="inlineStr">
        <is>
          <t>I-10</t>
        </is>
      </c>
      <c r="V77" s="11">
        <f>IF(D77="","",IF(COUNTIF(Connectors!$A$2:$A$1000,D77)=0,"from_ref não existe; ","")&amp;IF(COUNTIF(Connectors!$A$2:$A$1000,F77)=0,"to_ref não existe; ","")&amp;IF(AND(H77&lt;&gt;"",COUNTIF(Lists!$A$3:$A$14,H77)=0),"cor inválida; ","")&amp;IF(H77="","sem cor; ","")&amp;IF((K77="Y")&lt;&gt;(H77="OG"),"HV e laranja não batem; ","")&amp;IF(AND(K77="Y",OR(IFERROR(INDEX(Connectors!$F$2:$F$1000,MATCH(D77,Connectors!$A$2:$A$1000,0)),"")&lt;&gt;"Y",IFERROR(INDEX(Connectors!$F$2:$F$1000,MATCH(F77,Connectors!$A$2:$A$1000,0)),"")&lt;&gt;"Y")),"fio HV em ficha não HV rated; ","")&amp;IF(AND(COUNTIF($W$2:$W$1000,W77)+COUNTIF($X$2:$X$1000,W77)&gt;1,ISERROR(MATCH(IFERROR(INDEX(Connectors!$D$2:$D$1000,MATCH(D77,Connectors!$A$2:$A$1000,0)),""),{"SPLICE","STUD"},0))),"pino from com &gt;1 fio; ","")&amp;IF(AND(COUNTIF($W$2:$W$1000,X77)+COUNTIF($X$2:$X$1000,X77)&gt;1,ISERROR(MATCH(IFERROR(INDEX(Connectors!$D$2:$D$1000,MATCH(F77,Connectors!$A$2:$A$1000,0)),""),{"SPLICE","STUD"},0))),"pino to com &gt;1 fio; ","")&amp;IF(I77="","sem secção; ",""))</f>
        <v/>
      </c>
      <c r="W77" s="11">
        <f>IF(D77="","",D77&amp;":"&amp;E77&amp;IF(EXACT(E77,UPPER(E77)),"","|lc"))</f>
        <v/>
      </c>
      <c r="X77" s="11">
        <f>IF(F77="","",F77&amp;":"&amp;G77&amp;IF(EXACT(G77,UPPER(G77)),"","|lc"))</f>
        <v/>
      </c>
      <c r="Y77" s="9" t="n"/>
      <c r="Z77" s="9" t="n"/>
    </row>
    <row r="78">
      <c r="A78" s="12" t="inlineStr">
        <is>
          <t>W-DATABOX-077</t>
        </is>
      </c>
      <c r="B78" s="9" t="inlineStr">
        <is>
          <t>DATABOX</t>
        </is>
      </c>
      <c r="C78" s="9" t="inlineStr">
        <is>
          <t>ENCODER_B_SUPPLY</t>
        </is>
      </c>
      <c r="D78" s="9" t="inlineStr">
        <is>
          <t>DATABOX J1</t>
        </is>
      </c>
      <c r="E78" s="9" t="inlineStr">
        <is>
          <t>a</t>
        </is>
      </c>
      <c r="F78" s="9" t="inlineStr">
        <is>
          <t>RASPBERRY J6</t>
        </is>
      </c>
      <c r="G78" s="9" t="inlineStr">
        <is>
          <t>4</t>
        </is>
      </c>
      <c r="H78" s="9" t="inlineStr">
        <is>
          <t>YE</t>
        </is>
      </c>
      <c r="I78" s="10" t="n"/>
      <c r="J78" s="11">
        <f>IF(I78="","",IFERROR(INDEX(Lists!$F$3:$F$17,MATCH(I78,Lists!$E$3:$E$17,0)),"?"))</f>
        <v/>
      </c>
      <c r="K78" s="9" t="inlineStr">
        <is>
          <t>N</t>
        </is>
      </c>
      <c r="L78" s="9" t="inlineStr">
        <is>
          <t>5V</t>
        </is>
      </c>
      <c r="M78" s="10" t="n"/>
      <c r="N78" s="11">
        <f>IF(D78="","",IFERROR(INDEX(Connectors!$J$2:$J$1000,MATCH(D78,Connectors!$A$2:$A$1000,0))&amp;"",""))</f>
        <v/>
      </c>
      <c r="O78" s="11">
        <f>IF(F78="","",IFERROR(INDEX(Connectors!$J$2:$J$1000,MATCH(F78,Connectors!$A$2:$A$1000,0))&amp;"",""))</f>
        <v/>
      </c>
      <c r="P78" s="9" t="n"/>
      <c r="Q78" s="9" t="n"/>
      <c r="R78" s="10" t="n"/>
      <c r="S78" s="9" t="inlineStr">
        <is>
          <t>Rotory Encoder B Supply</t>
        </is>
      </c>
      <c r="T78" s="9" t="inlineStr">
        <is>
          <t>1 ponta (folha DataBox J1)</t>
        </is>
      </c>
      <c r="U78" s="12" t="inlineStr">
        <is>
          <t>I-09</t>
        </is>
      </c>
      <c r="V78" s="11">
        <f>IF(D78="","",IF(COUNTIF(Connectors!$A$2:$A$1000,D78)=0,"from_ref não existe; ","")&amp;IF(COUNTIF(Connectors!$A$2:$A$1000,F78)=0,"to_ref não existe; ","")&amp;IF(AND(H78&lt;&gt;"",COUNTIF(Lists!$A$3:$A$14,H78)=0),"cor inválida; ","")&amp;IF(H78="","sem cor; ","")&amp;IF((K78="Y")&lt;&gt;(H78="OG"),"HV e laranja não batem; ","")&amp;IF(AND(K78="Y",OR(IFERROR(INDEX(Connectors!$F$2:$F$1000,MATCH(D78,Connectors!$A$2:$A$1000,0)),"")&lt;&gt;"Y",IFERROR(INDEX(Connectors!$F$2:$F$1000,MATCH(F78,Connectors!$A$2:$A$1000,0)),"")&lt;&gt;"Y")),"fio HV em ficha não HV rated; ","")&amp;IF(AND(COUNTIF($W$2:$W$1000,W78)+COUNTIF($X$2:$X$1000,W78)&gt;1,ISERROR(MATCH(IFERROR(INDEX(Connectors!$D$2:$D$1000,MATCH(D78,Connectors!$A$2:$A$1000,0)),""),{"SPLICE","STUD"},0))),"pino from com &gt;1 fio; ","")&amp;IF(AND(COUNTIF($W$2:$W$1000,X78)+COUNTIF($X$2:$X$1000,X78)&gt;1,ISERROR(MATCH(IFERROR(INDEX(Connectors!$D$2:$D$1000,MATCH(F78,Connectors!$A$2:$A$1000,0)),""),{"SPLICE","STUD"},0))),"pino to com &gt;1 fio; ","")&amp;IF(I78="","sem secção; ",""))</f>
        <v/>
      </c>
      <c r="W78" s="11">
        <f>IF(D78="","",D78&amp;":"&amp;E78&amp;IF(EXACT(E78,UPPER(E78)),"","|lc"))</f>
        <v/>
      </c>
      <c r="X78" s="11">
        <f>IF(F78="","",F78&amp;":"&amp;G78&amp;IF(EXACT(G78,UPPER(G78)),"","|lc"))</f>
        <v/>
      </c>
      <c r="Y78" s="9" t="n"/>
      <c r="Z78" s="9" t="n"/>
    </row>
    <row r="79">
      <c r="A79" s="12" t="inlineStr">
        <is>
          <t>W-DATABOX-078</t>
        </is>
      </c>
      <c r="B79" s="9" t="inlineStr">
        <is>
          <t>DATABOX</t>
        </is>
      </c>
      <c r="C79" s="9" t="inlineStr">
        <is>
          <t>ENCODER_B_DATA</t>
        </is>
      </c>
      <c r="D79" s="9" t="inlineStr">
        <is>
          <t>DATABOX J1</t>
        </is>
      </c>
      <c r="E79" s="9" t="inlineStr">
        <is>
          <t>b</t>
        </is>
      </c>
      <c r="F79" s="9" t="inlineStr">
        <is>
          <t>RASPBERRY J6</t>
        </is>
      </c>
      <c r="G79" s="9" t="inlineStr">
        <is>
          <t>22</t>
        </is>
      </c>
      <c r="H79" s="9" t="inlineStr">
        <is>
          <t>WH</t>
        </is>
      </c>
      <c r="I79" s="10" t="n"/>
      <c r="J79" s="11">
        <f>IF(I79="","",IFERROR(INDEX(Lists!$F$3:$F$17,MATCH(I79,Lists!$E$3:$E$17,0)),"?"))</f>
        <v/>
      </c>
      <c r="K79" s="9" t="inlineStr">
        <is>
          <t>N</t>
        </is>
      </c>
      <c r="L79" s="9" t="inlineStr">
        <is>
          <t>5V</t>
        </is>
      </c>
      <c r="M79" s="10" t="n"/>
      <c r="N79" s="11">
        <f>IF(D79="","",IFERROR(INDEX(Connectors!$J$2:$J$1000,MATCH(D79,Connectors!$A$2:$A$1000,0))&amp;"",""))</f>
        <v/>
      </c>
      <c r="O79" s="11">
        <f>IF(F79="","",IFERROR(INDEX(Connectors!$J$2:$J$1000,MATCH(F79,Connectors!$A$2:$A$1000,0))&amp;"",""))</f>
        <v/>
      </c>
      <c r="P79" s="9" t="n"/>
      <c r="Q79" s="9" t="n"/>
      <c r="R79" s="10" t="n"/>
      <c r="S79" s="9" t="inlineStr">
        <is>
          <t>Rotory Encoder B Data Signal</t>
        </is>
      </c>
      <c r="T79" s="9" t="inlineStr">
        <is>
          <t>1 ponta (folha DataBox J1)</t>
        </is>
      </c>
      <c r="U79" s="12" t="inlineStr">
        <is>
          <t>I-18</t>
        </is>
      </c>
      <c r="V79" s="11">
        <f>IF(D79="","",IF(COUNTIF(Connectors!$A$2:$A$1000,D79)=0,"from_ref não existe; ","")&amp;IF(COUNTIF(Connectors!$A$2:$A$1000,F79)=0,"to_ref não existe; ","")&amp;IF(AND(H79&lt;&gt;"",COUNTIF(Lists!$A$3:$A$14,H79)=0),"cor inválida; ","")&amp;IF(H79="","sem cor; ","")&amp;IF((K79="Y")&lt;&gt;(H79="OG"),"HV e laranja não batem; ","")&amp;IF(AND(K79="Y",OR(IFERROR(INDEX(Connectors!$F$2:$F$1000,MATCH(D79,Connectors!$A$2:$A$1000,0)),"")&lt;&gt;"Y",IFERROR(INDEX(Connectors!$F$2:$F$1000,MATCH(F79,Connectors!$A$2:$A$1000,0)),"")&lt;&gt;"Y")),"fio HV em ficha não HV rated; ","")&amp;IF(AND(COUNTIF($W$2:$W$1000,W79)+COUNTIF($X$2:$X$1000,W79)&gt;1,ISERROR(MATCH(IFERROR(INDEX(Connectors!$D$2:$D$1000,MATCH(D79,Connectors!$A$2:$A$1000,0)),""),{"SPLICE","STUD"},0))),"pino from com &gt;1 fio; ","")&amp;IF(AND(COUNTIF($W$2:$W$1000,X79)+COUNTIF($X$2:$X$1000,X79)&gt;1,ISERROR(MATCH(IFERROR(INDEX(Connectors!$D$2:$D$1000,MATCH(F79,Connectors!$A$2:$A$1000,0)),""),{"SPLICE","STUD"},0))),"pino to com &gt;1 fio; ","")&amp;IF(I79="","sem secção; ",""))</f>
        <v/>
      </c>
      <c r="W79" s="11">
        <f>IF(D79="","",D79&amp;":"&amp;E79&amp;IF(EXACT(E79,UPPER(E79)),"","|lc"))</f>
        <v/>
      </c>
      <c r="X79" s="11">
        <f>IF(F79="","",F79&amp;":"&amp;G79&amp;IF(EXACT(G79,UPPER(G79)),"","|lc"))</f>
        <v/>
      </c>
      <c r="Y79" s="9" t="n"/>
      <c r="Z79" s="9" t="n"/>
    </row>
    <row r="80">
      <c r="A80" s="12" t="inlineStr">
        <is>
          <t>W-DATABOX-079</t>
        </is>
      </c>
      <c r="B80" s="9" t="inlineStr">
        <is>
          <t>DATABOX</t>
        </is>
      </c>
      <c r="C80" s="9" t="inlineStr">
        <is>
          <t>ENCODER_B_CLK</t>
        </is>
      </c>
      <c r="D80" s="9" t="inlineStr">
        <is>
          <t>DATABOX J1</t>
        </is>
      </c>
      <c r="E80" s="9" t="inlineStr">
        <is>
          <t>c</t>
        </is>
      </c>
      <c r="F80" s="9" t="inlineStr">
        <is>
          <t>RASPBERRY J6</t>
        </is>
      </c>
      <c r="G80" s="9" t="inlineStr">
        <is>
          <t>18</t>
        </is>
      </c>
      <c r="H80" s="9" t="inlineStr">
        <is>
          <t>BU</t>
        </is>
      </c>
      <c r="I80" s="10" t="n"/>
      <c r="J80" s="11">
        <f>IF(I80="","",IFERROR(INDEX(Lists!$F$3:$F$17,MATCH(I80,Lists!$E$3:$E$17,0)),"?"))</f>
        <v/>
      </c>
      <c r="K80" s="9" t="inlineStr">
        <is>
          <t>N</t>
        </is>
      </c>
      <c r="L80" s="9" t="inlineStr">
        <is>
          <t>5V</t>
        </is>
      </c>
      <c r="M80" s="10" t="n"/>
      <c r="N80" s="11">
        <f>IF(D80="","",IFERROR(INDEX(Connectors!$J$2:$J$1000,MATCH(D80,Connectors!$A$2:$A$1000,0))&amp;"",""))</f>
        <v/>
      </c>
      <c r="O80" s="11">
        <f>IF(F80="","",IFERROR(INDEX(Connectors!$J$2:$J$1000,MATCH(F80,Connectors!$A$2:$A$1000,0))&amp;"",""))</f>
        <v/>
      </c>
      <c r="P80" s="9" t="n"/>
      <c r="Q80" s="9" t="n"/>
      <c r="R80" s="10" t="n"/>
      <c r="S80" s="9" t="inlineStr">
        <is>
          <t>Rotory Encoder B Clock Signal</t>
        </is>
      </c>
      <c r="T80" s="9" t="inlineStr">
        <is>
          <t>1 ponta (folha DataBox J1)</t>
        </is>
      </c>
      <c r="U80" s="12" t="inlineStr">
        <is>
          <t>I-16</t>
        </is>
      </c>
      <c r="V80" s="11">
        <f>IF(D80="","",IF(COUNTIF(Connectors!$A$2:$A$1000,D80)=0,"from_ref não existe; ","")&amp;IF(COUNTIF(Connectors!$A$2:$A$1000,F80)=0,"to_ref não existe; ","")&amp;IF(AND(H80&lt;&gt;"",COUNTIF(Lists!$A$3:$A$14,H80)=0),"cor inválida; ","")&amp;IF(H80="","sem cor; ","")&amp;IF((K80="Y")&lt;&gt;(H80="OG"),"HV e laranja não batem; ","")&amp;IF(AND(K80="Y",OR(IFERROR(INDEX(Connectors!$F$2:$F$1000,MATCH(D80,Connectors!$A$2:$A$1000,0)),"")&lt;&gt;"Y",IFERROR(INDEX(Connectors!$F$2:$F$1000,MATCH(F80,Connectors!$A$2:$A$1000,0)),"")&lt;&gt;"Y")),"fio HV em ficha não HV rated; ","")&amp;IF(AND(COUNTIF($W$2:$W$1000,W80)+COUNTIF($X$2:$X$1000,W80)&gt;1,ISERROR(MATCH(IFERROR(INDEX(Connectors!$D$2:$D$1000,MATCH(D80,Connectors!$A$2:$A$1000,0)),""),{"SPLICE","STUD"},0))),"pino from com &gt;1 fio; ","")&amp;IF(AND(COUNTIF($W$2:$W$1000,X80)+COUNTIF($X$2:$X$1000,X80)&gt;1,ISERROR(MATCH(IFERROR(INDEX(Connectors!$D$2:$D$1000,MATCH(F80,Connectors!$A$2:$A$1000,0)),""),{"SPLICE","STUD"},0))),"pino to com &gt;1 fio; ","")&amp;IF(I80="","sem secção; ",""))</f>
        <v/>
      </c>
      <c r="W80" s="11">
        <f>IF(D80="","",D80&amp;":"&amp;E80&amp;IF(EXACT(E80,UPPER(E80)),"","|lc"))</f>
        <v/>
      </c>
      <c r="X80" s="11">
        <f>IF(F80="","",F80&amp;":"&amp;G80&amp;IF(EXACT(G80,UPPER(G80)),"","|lc"))</f>
        <v/>
      </c>
      <c r="Y80" s="9" t="n"/>
      <c r="Z80" s="9" t="n"/>
    </row>
    <row r="81">
      <c r="A81" s="12" t="inlineStr">
        <is>
          <t>W-DATABOX-080</t>
        </is>
      </c>
      <c r="B81" s="9" t="inlineStr">
        <is>
          <t>DATABOX</t>
        </is>
      </c>
      <c r="C81" s="9" t="inlineStr">
        <is>
          <t>ENCODER_B_GND</t>
        </is>
      </c>
      <c r="D81" s="9" t="inlineStr">
        <is>
          <t>DATABOX J1</t>
        </is>
      </c>
      <c r="E81" s="9" t="inlineStr">
        <is>
          <t>d</t>
        </is>
      </c>
      <c r="F81" s="9" t="inlineStr">
        <is>
          <t>RASPBERRY J6</t>
        </is>
      </c>
      <c r="G81" s="9" t="inlineStr">
        <is>
          <t>9</t>
        </is>
      </c>
      <c r="H81" s="9" t="inlineStr">
        <is>
          <t>BK</t>
        </is>
      </c>
      <c r="I81" s="10" t="n"/>
      <c r="J81" s="11">
        <f>IF(I81="","",IFERROR(INDEX(Lists!$F$3:$F$17,MATCH(I81,Lists!$E$3:$E$17,0)),"?"))</f>
        <v/>
      </c>
      <c r="K81" s="9" t="inlineStr">
        <is>
          <t>N</t>
        </is>
      </c>
      <c r="L81" s="9" t="inlineStr">
        <is>
          <t>0V</t>
        </is>
      </c>
      <c r="M81" s="10" t="n"/>
      <c r="N81" s="11">
        <f>IF(D81="","",IFERROR(INDEX(Connectors!$J$2:$J$1000,MATCH(D81,Connectors!$A$2:$A$1000,0))&amp;"",""))</f>
        <v/>
      </c>
      <c r="O81" s="11">
        <f>IF(F81="","",IFERROR(INDEX(Connectors!$J$2:$J$1000,MATCH(F81,Connectors!$A$2:$A$1000,0))&amp;"",""))</f>
        <v/>
      </c>
      <c r="P81" s="9" t="n"/>
      <c r="Q81" s="9" t="n"/>
      <c r="R81" s="10" t="n"/>
      <c r="S81" s="9" t="inlineStr">
        <is>
          <t>Rotory Encoder B Ground</t>
        </is>
      </c>
      <c r="T81" s="9" t="inlineStr">
        <is>
          <t>1 ponta (folha DataBox J1)</t>
        </is>
      </c>
      <c r="U81" s="12" t="inlineStr">
        <is>
          <t>I-11</t>
        </is>
      </c>
      <c r="V81" s="11">
        <f>IF(D81="","",IF(COUNTIF(Connectors!$A$2:$A$1000,D81)=0,"from_ref não existe; ","")&amp;IF(COUNTIF(Connectors!$A$2:$A$1000,F81)=0,"to_ref não existe; ","")&amp;IF(AND(H81&lt;&gt;"",COUNTIF(Lists!$A$3:$A$14,H81)=0),"cor inválida; ","")&amp;IF(H81="","sem cor; ","")&amp;IF((K81="Y")&lt;&gt;(H81="OG"),"HV e laranja não batem; ","")&amp;IF(AND(K81="Y",OR(IFERROR(INDEX(Connectors!$F$2:$F$1000,MATCH(D81,Connectors!$A$2:$A$1000,0)),"")&lt;&gt;"Y",IFERROR(INDEX(Connectors!$F$2:$F$1000,MATCH(F81,Connectors!$A$2:$A$1000,0)),"")&lt;&gt;"Y")),"fio HV em ficha não HV rated; ","")&amp;IF(AND(COUNTIF($W$2:$W$1000,W81)+COUNTIF($X$2:$X$1000,W81)&gt;1,ISERROR(MATCH(IFERROR(INDEX(Connectors!$D$2:$D$1000,MATCH(D81,Connectors!$A$2:$A$1000,0)),""),{"SPLICE","STUD"},0))),"pino from com &gt;1 fio; ","")&amp;IF(AND(COUNTIF($W$2:$W$1000,X81)+COUNTIF($X$2:$X$1000,X81)&gt;1,ISERROR(MATCH(IFERROR(INDEX(Connectors!$D$2:$D$1000,MATCH(F81,Connectors!$A$2:$A$1000,0)),""),{"SPLICE","STUD"},0))),"pino to com &gt;1 fio; ","")&amp;IF(I81="","sem secção; ",""))</f>
        <v/>
      </c>
      <c r="W81" s="11">
        <f>IF(D81="","",D81&amp;":"&amp;E81&amp;IF(EXACT(E81,UPPER(E81)),"","|lc"))</f>
        <v/>
      </c>
      <c r="X81" s="11">
        <f>IF(F81="","",F81&amp;":"&amp;G81&amp;IF(EXACT(G81,UPPER(G81)),"","|lc"))</f>
        <v/>
      </c>
      <c r="Y81" s="9" t="n"/>
      <c r="Z81" s="9" t="n"/>
    </row>
    <row r="82">
      <c r="A82" s="12" t="inlineStr">
        <is>
          <t>W-DATABOX-081</t>
        </is>
      </c>
      <c r="B82" s="9" t="inlineStr">
        <is>
          <t>DATABOX</t>
        </is>
      </c>
      <c r="C82" s="9" t="inlineStr">
        <is>
          <t>BUTTONS_POWER</t>
        </is>
      </c>
      <c r="D82" s="9" t="inlineStr">
        <is>
          <t>DATABOX J1</t>
        </is>
      </c>
      <c r="E82" s="9" t="inlineStr">
        <is>
          <t>e</t>
        </is>
      </c>
      <c r="F82" s="9" t="inlineStr">
        <is>
          <t>RASPBERRY J6</t>
        </is>
      </c>
      <c r="G82" s="9" t="inlineStr">
        <is>
          <t>17</t>
        </is>
      </c>
      <c r="H82" s="9" t="inlineStr">
        <is>
          <t>WH</t>
        </is>
      </c>
      <c r="I82" s="10" t="n"/>
      <c r="J82" s="11">
        <f>IF(I82="","",IFERROR(INDEX(Lists!$F$3:$F$17,MATCH(I82,Lists!$E$3:$E$17,0)),"?"))</f>
        <v/>
      </c>
      <c r="K82" s="9" t="inlineStr">
        <is>
          <t>N</t>
        </is>
      </c>
      <c r="L82" s="9" t="inlineStr">
        <is>
          <t>3.3V</t>
        </is>
      </c>
      <c r="M82" s="10" t="n"/>
      <c r="N82" s="11">
        <f>IF(D82="","",IFERROR(INDEX(Connectors!$J$2:$J$1000,MATCH(D82,Connectors!$A$2:$A$1000,0))&amp;"",""))</f>
        <v/>
      </c>
      <c r="O82" s="11">
        <f>IF(F82="","",IFERROR(INDEX(Connectors!$J$2:$J$1000,MATCH(F82,Connectors!$A$2:$A$1000,0))&amp;"",""))</f>
        <v/>
      </c>
      <c r="P82" s="9" t="n"/>
      <c r="Q82" s="9" t="n"/>
      <c r="R82" s="10" t="n"/>
      <c r="S82" s="9" t="inlineStr">
        <is>
          <t>Supply Voltage for Buttons in Steering Wheel</t>
        </is>
      </c>
      <c r="T82" s="9" t="inlineStr">
        <is>
          <t>1 ponta (folha DataBox J1)</t>
        </is>
      </c>
      <c r="U82" s="12" t="inlineStr">
        <is>
          <t>I-15</t>
        </is>
      </c>
      <c r="V82" s="11">
        <f>IF(D82="","",IF(COUNTIF(Connectors!$A$2:$A$1000,D82)=0,"from_ref não existe; ","")&amp;IF(COUNTIF(Connectors!$A$2:$A$1000,F82)=0,"to_ref não existe; ","")&amp;IF(AND(H82&lt;&gt;"",COUNTIF(Lists!$A$3:$A$14,H82)=0),"cor inválida; ","")&amp;IF(H82="","sem cor; ","")&amp;IF((K82="Y")&lt;&gt;(H82="OG"),"HV e laranja não batem; ","")&amp;IF(AND(K82="Y",OR(IFERROR(INDEX(Connectors!$F$2:$F$1000,MATCH(D82,Connectors!$A$2:$A$1000,0)),"")&lt;&gt;"Y",IFERROR(INDEX(Connectors!$F$2:$F$1000,MATCH(F82,Connectors!$A$2:$A$1000,0)),"")&lt;&gt;"Y")),"fio HV em ficha não HV rated; ","")&amp;IF(AND(COUNTIF($W$2:$W$1000,W82)+COUNTIF($X$2:$X$1000,W82)&gt;1,ISERROR(MATCH(IFERROR(INDEX(Connectors!$D$2:$D$1000,MATCH(D82,Connectors!$A$2:$A$1000,0)),""),{"SPLICE","STUD"},0))),"pino from com &gt;1 fio; ","")&amp;IF(AND(COUNTIF($W$2:$W$1000,X82)+COUNTIF($X$2:$X$1000,X82)&gt;1,ISERROR(MATCH(IFERROR(INDEX(Connectors!$D$2:$D$1000,MATCH(F82,Connectors!$A$2:$A$1000,0)),""),{"SPLICE","STUD"},0))),"pino to com &gt;1 fio; ","")&amp;IF(I82="","sem secção; ",""))</f>
        <v/>
      </c>
      <c r="W82" s="11">
        <f>IF(D82="","",D82&amp;":"&amp;E82&amp;IF(EXACT(E82,UPPER(E82)),"","|lc"))</f>
        <v/>
      </c>
      <c r="X82" s="11">
        <f>IF(F82="","",F82&amp;":"&amp;G82&amp;IF(EXACT(G82,UPPER(G82)),"","|lc"))</f>
        <v/>
      </c>
      <c r="Y82" s="9" t="n"/>
      <c r="Z82" s="9" t="n"/>
    </row>
    <row r="83">
      <c r="A83" s="12" t="inlineStr">
        <is>
          <t>W-DATABOX-082</t>
        </is>
      </c>
      <c r="B83" s="9" t="inlineStr">
        <is>
          <t>DATABOX</t>
        </is>
      </c>
      <c r="C83" s="9" t="inlineStr">
        <is>
          <t>BUTTON_OK</t>
        </is>
      </c>
      <c r="D83" s="9" t="inlineStr">
        <is>
          <t>DATABOX J1</t>
        </is>
      </c>
      <c r="E83" s="9" t="inlineStr">
        <is>
          <t>f</t>
        </is>
      </c>
      <c r="F83" s="9" t="inlineStr">
        <is>
          <t>RASPBERRY J6</t>
        </is>
      </c>
      <c r="G83" s="9" t="inlineStr">
        <is>
          <t>11</t>
        </is>
      </c>
      <c r="H83" s="9" t="inlineStr">
        <is>
          <t>WH</t>
        </is>
      </c>
      <c r="I83" s="10" t="n"/>
      <c r="J83" s="11">
        <f>IF(I83="","",IFERROR(INDEX(Lists!$F$3:$F$17,MATCH(I83,Lists!$E$3:$E$17,0)),"?"))</f>
        <v/>
      </c>
      <c r="K83" s="9" t="inlineStr">
        <is>
          <t>N</t>
        </is>
      </c>
      <c r="L83" s="9" t="inlineStr">
        <is>
          <t>3.3V</t>
        </is>
      </c>
      <c r="M83" s="10" t="n"/>
      <c r="N83" s="11">
        <f>IF(D83="","",IFERROR(INDEX(Connectors!$J$2:$J$1000,MATCH(D83,Connectors!$A$2:$A$1000,0))&amp;"",""))</f>
        <v/>
      </c>
      <c r="O83" s="11">
        <f>IF(F83="","",IFERROR(INDEX(Connectors!$J$2:$J$1000,MATCH(F83,Connectors!$A$2:$A$1000,0))&amp;"",""))</f>
        <v/>
      </c>
      <c r="P83" s="9" t="n"/>
      <c r="Q83" s="9" t="n"/>
      <c r="R83" s="10" t="n"/>
      <c r="S83" s="9" t="inlineStr">
        <is>
          <t>Button Ok Signal</t>
        </is>
      </c>
      <c r="T83" s="9" t="inlineStr">
        <is>
          <t>1 ponta (folha DataBox J1)</t>
        </is>
      </c>
      <c r="U83" s="12" t="inlineStr">
        <is>
          <t>I-12</t>
        </is>
      </c>
      <c r="V83" s="11">
        <f>IF(D83="","",IF(COUNTIF(Connectors!$A$2:$A$1000,D83)=0,"from_ref não existe; ","")&amp;IF(COUNTIF(Connectors!$A$2:$A$1000,F83)=0,"to_ref não existe; ","")&amp;IF(AND(H83&lt;&gt;"",COUNTIF(Lists!$A$3:$A$14,H83)=0),"cor inválida; ","")&amp;IF(H83="","sem cor; ","")&amp;IF((K83="Y")&lt;&gt;(H83="OG"),"HV e laranja não batem; ","")&amp;IF(AND(K83="Y",OR(IFERROR(INDEX(Connectors!$F$2:$F$1000,MATCH(D83,Connectors!$A$2:$A$1000,0)),"")&lt;&gt;"Y",IFERROR(INDEX(Connectors!$F$2:$F$1000,MATCH(F83,Connectors!$A$2:$A$1000,0)),"")&lt;&gt;"Y")),"fio HV em ficha não HV rated; ","")&amp;IF(AND(COUNTIF($W$2:$W$1000,W83)+COUNTIF($X$2:$X$1000,W83)&gt;1,ISERROR(MATCH(IFERROR(INDEX(Connectors!$D$2:$D$1000,MATCH(D83,Connectors!$A$2:$A$1000,0)),""),{"SPLICE","STUD"},0))),"pino from com &gt;1 fio; ","")&amp;IF(AND(COUNTIF($W$2:$W$1000,X83)+COUNTIF($X$2:$X$1000,X83)&gt;1,ISERROR(MATCH(IFERROR(INDEX(Connectors!$D$2:$D$1000,MATCH(F83,Connectors!$A$2:$A$1000,0)),""),{"SPLICE","STUD"},0))),"pino to com &gt;1 fio; ","")&amp;IF(I83="","sem secção; ",""))</f>
        <v/>
      </c>
      <c r="W83" s="11">
        <f>IF(D83="","",D83&amp;":"&amp;E83&amp;IF(EXACT(E83,UPPER(E83)),"","|lc"))</f>
        <v/>
      </c>
      <c r="X83" s="11">
        <f>IF(F83="","",F83&amp;":"&amp;G83&amp;IF(EXACT(G83,UPPER(G83)),"","|lc"))</f>
        <v/>
      </c>
      <c r="Y83" s="9" t="n"/>
      <c r="Z83" s="9" t="n"/>
    </row>
  </sheetData>
  <autoFilter ref="A1:Z83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9" t="inlineStr">
        <is>
          <t>ACQUISITION J1</t>
        </is>
      </c>
      <c r="B2" s="9" t="inlineStr">
        <is>
          <t>ACQUISITION</t>
        </is>
      </c>
      <c r="C2" s="9" t="inlineStr">
        <is>
          <t>DATABOX</t>
        </is>
      </c>
      <c r="D2" s="9" t="inlineStr">
        <is>
          <t>CONNECTOR</t>
        </is>
      </c>
      <c r="E2" s="11">
        <f>COUNTIF(Pins!$A$2:$A$1000,A2)</f>
        <v/>
      </c>
      <c r="F2" s="10" t="n"/>
      <c r="G2" s="13" t="inlineStr">
        <is>
          <t>1-794617-0</t>
        </is>
      </c>
      <c r="H2" s="9" t="n"/>
      <c r="I2" s="13" t="inlineStr">
        <is>
          <t>TE Micro MATE-N-LOK</t>
        </is>
      </c>
      <c r="J2" s="13" t="inlineStr">
        <is>
          <t>794611-1</t>
        </is>
      </c>
      <c r="K2" s="9" t="n"/>
      <c r="L2" s="9" t="n"/>
      <c r="M2" s="10" t="n"/>
      <c r="N2" s="10" t="n"/>
      <c r="O2" s="10" t="n"/>
      <c r="P2" s="11">
        <f>IF(COUNTIF(Segments!$B$2:$C$1000,A2)&gt;0,"Y","N")</f>
        <v/>
      </c>
      <c r="Q2" s="11">
        <f>COUNTIF(Wires!$D$2:$D$1000,A2)+COUNTIF(Wires!$F$2:$F$1000,A2)</f>
        <v/>
      </c>
      <c r="R2" s="11">
        <f>IF(A2="","",IF(D2="SPLICE","",IF(P2="N","fora da topologia; ","")&amp;IF(G2="","sem P/N; ","")&amp;IF(AND(G2&lt;&gt;"",COUNTIF(Parts!$A$2:$A$1000,G2)=0),"P/N não está em Parts; ","")&amp;IF(M2="","sem xyz; ","")))</f>
        <v/>
      </c>
      <c r="S2" s="9" t="inlineStr">
        <is>
          <t>Proposto a partir da lista da equipa (Notion · Connectors Harness): ficha de placa com 10 vias.</t>
        </is>
      </c>
      <c r="T2" s="13" t="inlineStr">
        <is>
          <t>F</t>
        </is>
      </c>
    </row>
    <row r="3">
      <c r="A3" s="9" t="inlineStr">
        <is>
          <t>ACQUISITION J2</t>
        </is>
      </c>
      <c r="B3" s="9" t="inlineStr">
        <is>
          <t>ACQUISITION</t>
        </is>
      </c>
      <c r="C3" s="9" t="inlineStr">
        <is>
          <t>DATABOX</t>
        </is>
      </c>
      <c r="D3" s="9" t="inlineStr">
        <is>
          <t>CONNECTOR</t>
        </is>
      </c>
      <c r="E3" s="11">
        <f>COUNTIF(Pins!$A$2:$A$1000,A3)</f>
        <v/>
      </c>
      <c r="F3" s="10" t="n"/>
      <c r="G3" s="13" t="inlineStr">
        <is>
          <t>794617-8</t>
        </is>
      </c>
      <c r="H3" s="9" t="n"/>
      <c r="I3" s="13" t="inlineStr">
        <is>
          <t>TE Micro MATE-N-LOK</t>
        </is>
      </c>
      <c r="J3" s="13" t="inlineStr">
        <is>
          <t>794611-1</t>
        </is>
      </c>
      <c r="K3" s="9" t="n"/>
      <c r="L3" s="9" t="n"/>
      <c r="M3" s="10" t="n"/>
      <c r="N3" s="10" t="n"/>
      <c r="O3" s="10" t="n"/>
      <c r="P3" s="11">
        <f>IF(COUNTIF(Segments!$B$2:$C$1000,A3)&gt;0,"Y","N")</f>
        <v/>
      </c>
      <c r="Q3" s="11">
        <f>COUNTIF(Wires!$D$2:$D$1000,A3)+COUNTIF(Wires!$F$2:$F$1000,A3)</f>
        <v/>
      </c>
      <c r="R3" s="11">
        <f>IF(A3="","",IF(D3="SPLICE","",IF(P3="N","fora da topologia; ","")&amp;IF(G3="","sem P/N; ","")&amp;IF(AND(G3&lt;&gt;"",COUNTIF(Parts!$A$2:$A$1000,G3)=0),"P/N não está em Parts; ","")&amp;IF(M3="","sem xyz; ","")))</f>
        <v/>
      </c>
      <c r="S3" s="9" t="inlineStr">
        <is>
          <t>Proposto a partir da lista da equipa (Notion · Connectors Harness): ficha de placa com 8 vias.</t>
        </is>
      </c>
      <c r="T3" s="13" t="inlineStr">
        <is>
          <t>F</t>
        </is>
      </c>
    </row>
    <row r="4">
      <c r="A4" s="9" t="inlineStr">
        <is>
          <t>ACQUISITION J3</t>
        </is>
      </c>
      <c r="B4" s="9" t="inlineStr">
        <is>
          <t>ACQUISITION</t>
        </is>
      </c>
      <c r="C4" s="9" t="inlineStr">
        <is>
          <t>DATABOX</t>
        </is>
      </c>
      <c r="D4" s="9" t="inlineStr">
        <is>
          <t>CONNECTOR</t>
        </is>
      </c>
      <c r="E4" s="11">
        <f>COUNTIF(Pins!$A$2:$A$1000,A4)</f>
        <v/>
      </c>
      <c r="F4" s="10" t="n"/>
      <c r="G4" s="13" t="inlineStr">
        <is>
          <t>1-794617-2</t>
        </is>
      </c>
      <c r="H4" s="9" t="n"/>
      <c r="I4" s="13" t="inlineStr">
        <is>
          <t>TE Micro MATE-N-LOK</t>
        </is>
      </c>
      <c r="J4" s="13" t="inlineStr">
        <is>
          <t>794611-1</t>
        </is>
      </c>
      <c r="K4" s="9" t="n"/>
      <c r="L4" s="9" t="n"/>
      <c r="M4" s="10" t="n"/>
      <c r="N4" s="10" t="n"/>
      <c r="O4" s="10" t="n"/>
      <c r="P4" s="11">
        <f>IF(COUNTIF(Segments!$B$2:$C$1000,A4)&gt;0,"Y","N")</f>
        <v/>
      </c>
      <c r="Q4" s="11">
        <f>COUNTIF(Wires!$D$2:$D$1000,A4)+COUNTIF(Wires!$F$2:$F$1000,A4)</f>
        <v/>
      </c>
      <c r="R4" s="11">
        <f>IF(A4="","",IF(D4="SPLICE","",IF(P4="N","fora da topologia; ","")&amp;IF(G4="","sem P/N; ","")&amp;IF(AND(G4&lt;&gt;"",COUNTIF(Parts!$A$2:$A$1000,G4)=0),"P/N não está em Parts; ","")&amp;IF(M4="","sem xyz; ","")))</f>
        <v/>
      </c>
      <c r="S4" s="9" t="inlineStr">
        <is>
          <t>Proposto a partir da lista da equipa (Notion · Connectors Harness): ficha de placa com 12 vias.</t>
        </is>
      </c>
      <c r="T4" s="13" t="inlineStr">
        <is>
          <t>F</t>
        </is>
      </c>
    </row>
    <row r="5">
      <c r="A5" s="9" t="inlineStr">
        <is>
          <t>RASPBERRY J1</t>
        </is>
      </c>
      <c r="B5" s="9" t="inlineStr">
        <is>
          <t>RASPBERRY</t>
        </is>
      </c>
      <c r="C5" s="9" t="inlineStr">
        <is>
          <t>DATABOX</t>
        </is>
      </c>
      <c r="D5" s="9" t="inlineStr">
        <is>
          <t>CONNECTOR</t>
        </is>
      </c>
      <c r="E5" s="11">
        <f>COUNTIF(Pins!$A$2:$A$1000,A5)</f>
        <v/>
      </c>
      <c r="F5" s="10" t="n"/>
      <c r="G5" s="10" t="n"/>
      <c r="H5" s="9" t="n"/>
      <c r="I5" s="9" t="n"/>
      <c r="J5" s="9" t="n"/>
      <c r="K5" s="9" t="n"/>
      <c r="L5" s="9" t="n"/>
      <c r="M5" s="10" t="n"/>
      <c r="N5" s="10" t="n"/>
      <c r="O5" s="10" t="n"/>
      <c r="P5" s="11">
        <f>IF(COUNTIF(Segments!$B$2:$C$1000,A5)&gt;0,"Y","N")</f>
        <v/>
      </c>
      <c r="Q5" s="11">
        <f>COUNTIF(Wires!$D$2:$D$1000,A5)+COUNTIF(Wires!$F$2:$F$1000,A5)</f>
        <v/>
      </c>
      <c r="R5" s="11">
        <f>IF(A5="","",IF(D5="SPLICE","",IF(P5="N","fora da topologia; ","")&amp;IF(G5="","sem P/N; ","")&amp;IF(AND(G5&lt;&gt;"",COUNTIF(Parts!$A$2:$A$1000,G5)=0),"P/N não está em Parts; ","")&amp;IF(M5="","sem xyz; ","")))</f>
        <v/>
      </c>
      <c r="S5" s="9" t="n"/>
      <c r="T5" s="10" t="n"/>
    </row>
    <row r="6">
      <c r="A6" s="9" t="inlineStr">
        <is>
          <t>RASPBERRY J2</t>
        </is>
      </c>
      <c r="B6" s="9" t="inlineStr">
        <is>
          <t>RASPBERRY</t>
        </is>
      </c>
      <c r="C6" s="9" t="inlineStr">
        <is>
          <t>DATABOX</t>
        </is>
      </c>
      <c r="D6" s="9" t="inlineStr">
        <is>
          <t>CONNECTOR</t>
        </is>
      </c>
      <c r="E6" s="11">
        <f>COUNTIF(Pins!$A$2:$A$1000,A6)</f>
        <v/>
      </c>
      <c r="F6" s="10" t="n"/>
      <c r="G6" s="10" t="n"/>
      <c r="H6" s="9" t="n"/>
      <c r="I6" s="9" t="n"/>
      <c r="J6" s="9" t="n"/>
      <c r="K6" s="9" t="n"/>
      <c r="L6" s="9" t="n"/>
      <c r="M6" s="10" t="n"/>
      <c r="N6" s="10" t="n"/>
      <c r="O6" s="10" t="n"/>
      <c r="P6" s="11">
        <f>IF(COUNTIF(Segments!$B$2:$C$1000,A6)&gt;0,"Y","N")</f>
        <v/>
      </c>
      <c r="Q6" s="11">
        <f>COUNTIF(Wires!$D$2:$D$1000,A6)+COUNTIF(Wires!$F$2:$F$1000,A6)</f>
        <v/>
      </c>
      <c r="R6" s="11">
        <f>IF(A6="","",IF(D6="SPLICE","",IF(P6="N","fora da topologia; ","")&amp;IF(G6="","sem P/N; ","")&amp;IF(AND(G6&lt;&gt;"",COUNTIF(Parts!$A$2:$A$1000,G6)=0),"P/N não está em Parts; ","")&amp;IF(M6="","sem xyz; ","")))</f>
        <v/>
      </c>
      <c r="S6" s="9" t="n"/>
      <c r="T6" s="10" t="n"/>
    </row>
    <row r="7">
      <c r="A7" s="9" t="inlineStr">
        <is>
          <t>RASPBERRY J3</t>
        </is>
      </c>
      <c r="B7" s="9" t="inlineStr">
        <is>
          <t>RASPBERRY</t>
        </is>
      </c>
      <c r="C7" s="9" t="inlineStr">
        <is>
          <t>DATABOX</t>
        </is>
      </c>
      <c r="D7" s="9" t="inlineStr">
        <is>
          <t>CONNECTOR</t>
        </is>
      </c>
      <c r="E7" s="11">
        <f>COUNTIF(Pins!$A$2:$A$1000,A7)</f>
        <v/>
      </c>
      <c r="F7" s="10" t="n"/>
      <c r="G7" s="10" t="n"/>
      <c r="H7" s="9" t="n"/>
      <c r="I7" s="9" t="n"/>
      <c r="J7" s="9" t="n"/>
      <c r="K7" s="9" t="n"/>
      <c r="L7" s="9" t="n"/>
      <c r="M7" s="10" t="n"/>
      <c r="N7" s="10" t="n"/>
      <c r="O7" s="10" t="n"/>
      <c r="P7" s="11">
        <f>IF(COUNTIF(Segments!$B$2:$C$1000,A7)&gt;0,"Y","N")</f>
        <v/>
      </c>
      <c r="Q7" s="11">
        <f>COUNTIF(Wires!$D$2:$D$1000,A7)+COUNTIF(Wires!$F$2:$F$1000,A7)</f>
        <v/>
      </c>
      <c r="R7" s="11">
        <f>IF(A7="","",IF(D7="SPLICE","",IF(P7="N","fora da topologia; ","")&amp;IF(G7="","sem P/N; ","")&amp;IF(AND(G7&lt;&gt;"",COUNTIF(Parts!$A$2:$A$1000,G7)=0),"P/N não está em Parts; ","")&amp;IF(M7="","sem xyz; ","")))</f>
        <v/>
      </c>
      <c r="S7" s="9" t="n"/>
      <c r="T7" s="10" t="n"/>
    </row>
    <row r="8">
      <c r="A8" s="9" t="inlineStr">
        <is>
          <t>RASPBERRY J4</t>
        </is>
      </c>
      <c r="B8" s="9" t="inlineStr">
        <is>
          <t>RASPBERRY</t>
        </is>
      </c>
      <c r="C8" s="9" t="inlineStr">
        <is>
          <t>DATABOX</t>
        </is>
      </c>
      <c r="D8" s="9" t="inlineStr">
        <is>
          <t>CONNECTOR</t>
        </is>
      </c>
      <c r="E8" s="11">
        <f>COUNTIF(Pins!$A$2:$A$1000,A8)</f>
        <v/>
      </c>
      <c r="F8" s="10" t="n"/>
      <c r="G8" s="10" t="n"/>
      <c r="H8" s="9" t="n"/>
      <c r="I8" s="9" t="n"/>
      <c r="J8" s="9" t="n"/>
      <c r="K8" s="9" t="n"/>
      <c r="L8" s="9" t="n"/>
      <c r="M8" s="10" t="n"/>
      <c r="N8" s="10" t="n"/>
      <c r="O8" s="10" t="n"/>
      <c r="P8" s="11">
        <f>IF(COUNTIF(Segments!$B$2:$C$1000,A8)&gt;0,"Y","N")</f>
        <v/>
      </c>
      <c r="Q8" s="11">
        <f>COUNTIF(Wires!$D$2:$D$1000,A8)+COUNTIF(Wires!$F$2:$F$1000,A8)</f>
        <v/>
      </c>
      <c r="R8" s="11">
        <f>IF(A8="","",IF(D8="SPLICE","",IF(P8="N","fora da topologia; ","")&amp;IF(G8="","sem P/N; ","")&amp;IF(AND(G8&lt;&gt;"",COUNTIF(Parts!$A$2:$A$1000,G8)=0),"P/N não está em Parts; ","")&amp;IF(M8="","sem xyz; ","")))</f>
        <v/>
      </c>
      <c r="S8" s="9" t="n"/>
      <c r="T8" s="10" t="n"/>
    </row>
    <row r="9">
      <c r="A9" s="9" t="inlineStr">
        <is>
          <t>RASPBERRY J5</t>
        </is>
      </c>
      <c r="B9" s="9" t="inlineStr">
        <is>
          <t>RASPBERRY</t>
        </is>
      </c>
      <c r="C9" s="9" t="inlineStr">
        <is>
          <t>DATABOX</t>
        </is>
      </c>
      <c r="D9" s="9" t="inlineStr">
        <is>
          <t>CONNECTOR</t>
        </is>
      </c>
      <c r="E9" s="11">
        <f>COUNTIF(Pins!$A$2:$A$1000,A9)</f>
        <v/>
      </c>
      <c r="F9" s="10" t="n"/>
      <c r="G9" s="10" t="n"/>
      <c r="H9" s="9" t="n"/>
      <c r="I9" s="9" t="n"/>
      <c r="J9" s="9" t="n"/>
      <c r="K9" s="9" t="n"/>
      <c r="L9" s="9" t="n"/>
      <c r="M9" s="10" t="n"/>
      <c r="N9" s="10" t="n"/>
      <c r="O9" s="10" t="n"/>
      <c r="P9" s="11">
        <f>IF(COUNTIF(Segments!$B$2:$C$1000,A9)&gt;0,"Y","N")</f>
        <v/>
      </c>
      <c r="Q9" s="11">
        <f>COUNTIF(Wires!$D$2:$D$1000,A9)+COUNTIF(Wires!$F$2:$F$1000,A9)</f>
        <v/>
      </c>
      <c r="R9" s="11">
        <f>IF(A9="","",IF(D9="SPLICE","",IF(P9="N","fora da topologia; ","")&amp;IF(G9="","sem P/N; ","")&amp;IF(AND(G9&lt;&gt;"",COUNTIF(Parts!$A$2:$A$1000,G9)=0),"P/N não está em Parts; ","")&amp;IF(M9="","sem xyz; ","")))</f>
        <v/>
      </c>
      <c r="S9" s="9" t="n"/>
      <c r="T9" s="10" t="n"/>
    </row>
    <row r="10">
      <c r="A10" s="9" t="inlineStr">
        <is>
          <t>RASPBERRY J6</t>
        </is>
      </c>
      <c r="B10" s="9" t="inlineStr">
        <is>
          <t>RASPBERRY</t>
        </is>
      </c>
      <c r="C10" s="9" t="inlineStr">
        <is>
          <t>DATABOX</t>
        </is>
      </c>
      <c r="D10" s="9" t="inlineStr">
        <is>
          <t>CONNECTOR</t>
        </is>
      </c>
      <c r="E10" s="11">
        <f>COUNTIF(Pins!$A$2:$A$1000,A10)</f>
        <v/>
      </c>
      <c r="F10" s="10" t="n"/>
      <c r="G10" s="10" t="n"/>
      <c r="H10" s="9" t="n"/>
      <c r="I10" s="9" t="n"/>
      <c r="J10" s="9" t="n"/>
      <c r="K10" s="9" t="n"/>
      <c r="L10" s="9" t="n"/>
      <c r="M10" s="10" t="n"/>
      <c r="N10" s="10" t="n"/>
      <c r="O10" s="10" t="n"/>
      <c r="P10" s="11">
        <f>IF(COUNTIF(Segments!$B$2:$C$1000,A10)&gt;0,"Y","N")</f>
        <v/>
      </c>
      <c r="Q10" s="11">
        <f>COUNTIF(Wires!$D$2:$D$1000,A10)+COUNTIF(Wires!$F$2:$F$1000,A10)</f>
        <v/>
      </c>
      <c r="R10" s="11">
        <f>IF(A10="","",IF(D10="SPLICE","",IF(P10="N","fora da topologia; ","")&amp;IF(G10="","sem P/N; ","")&amp;IF(AND(G10&lt;&gt;"",COUNTIF(Parts!$A$2:$A$1000,G10)=0),"P/N não está em Parts; ","")&amp;IF(M10="","sem xyz; ","")))</f>
        <v/>
      </c>
      <c r="S10" s="9" t="n"/>
      <c r="T10" s="10" t="n"/>
    </row>
    <row r="11">
      <c r="A11" s="9" t="inlineStr">
        <is>
          <t>LCD</t>
        </is>
      </c>
      <c r="B11" s="9" t="inlineStr">
        <is>
          <t>LCD</t>
        </is>
      </c>
      <c r="C11" s="9" t="inlineStr">
        <is>
          <t>DATABOX</t>
        </is>
      </c>
      <c r="D11" s="9" t="inlineStr">
        <is>
          <t>CONNECTOR</t>
        </is>
      </c>
      <c r="E11" s="11">
        <f>COUNTIF(Pins!$A$2:$A$1000,A11)</f>
        <v/>
      </c>
      <c r="F11" s="10" t="n"/>
      <c r="G11" s="10" t="n"/>
      <c r="H11" s="9" t="n"/>
      <c r="I11" s="9" t="n"/>
      <c r="J11" s="9" t="n"/>
      <c r="K11" s="9" t="n"/>
      <c r="L11" s="9" t="n"/>
      <c r="M11" s="10" t="n"/>
      <c r="N11" s="10" t="n"/>
      <c r="O11" s="10" t="n"/>
      <c r="P11" s="11">
        <f>IF(COUNTIF(Segments!$B$2:$C$1000,A11)&gt;0,"Y","N")</f>
        <v/>
      </c>
      <c r="Q11" s="11">
        <f>COUNTIF(Wires!$D$2:$D$1000,A11)+COUNTIF(Wires!$F$2:$F$1000,A11)</f>
        <v/>
      </c>
      <c r="R11" s="11">
        <f>IF(A11="","",IF(D11="SPLICE","",IF(P11="N","fora da topologia; ","")&amp;IF(G11="","sem P/N; ","")&amp;IF(AND(G11&lt;&gt;"",COUNTIF(Parts!$A$2:$A$1000,G11)=0),"P/N não está em Parts; ","")&amp;IF(M11="","sem xyz; ","")))</f>
        <v/>
      </c>
      <c r="S11" s="9" t="n"/>
      <c r="T11" s="10" t="n"/>
    </row>
    <row r="12">
      <c r="A12" s="9" t="inlineStr">
        <is>
          <t>EMERGENCY J1</t>
        </is>
      </c>
      <c r="B12" s="9" t="inlineStr">
        <is>
          <t>EMERGENCY</t>
        </is>
      </c>
      <c r="C12" s="9" t="inlineStr">
        <is>
          <t>DATABOX</t>
        </is>
      </c>
      <c r="D12" s="9" t="inlineStr">
        <is>
          <t>CONNECTOR</t>
        </is>
      </c>
      <c r="E12" s="11">
        <f>COUNTIF(Pins!$A$2:$A$1000,A12)</f>
        <v/>
      </c>
      <c r="F12" s="10" t="n"/>
      <c r="G12" s="10" t="n"/>
      <c r="H12" s="9" t="n"/>
      <c r="I12" s="9" t="n"/>
      <c r="J12" s="9" t="n"/>
      <c r="K12" s="9" t="n"/>
      <c r="L12" s="9" t="n"/>
      <c r="M12" s="10" t="n"/>
      <c r="N12" s="10" t="n"/>
      <c r="O12" s="10" t="n"/>
      <c r="P12" s="11">
        <f>IF(COUNTIF(Segments!$B$2:$C$1000,A12)&gt;0,"Y","N")</f>
        <v/>
      </c>
      <c r="Q12" s="11">
        <f>COUNTIF(Wires!$D$2:$D$1000,A12)+COUNTIF(Wires!$F$2:$F$1000,A12)</f>
        <v/>
      </c>
      <c r="R12" s="11">
        <f>IF(A12="","",IF(D12="SPLICE","",IF(P12="N","fora da topologia; ","")&amp;IF(G12="","sem P/N; ","")&amp;IF(AND(G12&lt;&gt;"",COUNTIF(Parts!$A$2:$A$1000,G12)=0),"P/N não está em Parts; ","")&amp;IF(M12="","sem xyz; ","")))</f>
        <v/>
      </c>
      <c r="S12" s="9" t="n"/>
      <c r="T12" s="10" t="n"/>
    </row>
    <row r="13">
      <c r="A13" s="9" t="inlineStr">
        <is>
          <t>IGNITION J1</t>
        </is>
      </c>
      <c r="B13" s="9" t="inlineStr">
        <is>
          <t>IGNITION</t>
        </is>
      </c>
      <c r="C13" s="9" t="inlineStr">
        <is>
          <t>DATABOX</t>
        </is>
      </c>
      <c r="D13" s="9" t="inlineStr">
        <is>
          <t>CONNECTOR</t>
        </is>
      </c>
      <c r="E13" s="11">
        <f>COUNTIF(Pins!$A$2:$A$1000,A13)</f>
        <v/>
      </c>
      <c r="F13" s="10" t="n"/>
      <c r="G13" s="10" t="n"/>
      <c r="H13" s="9" t="n"/>
      <c r="I13" s="9" t="n"/>
      <c r="J13" s="9" t="n"/>
      <c r="K13" s="9" t="n"/>
      <c r="L13" s="9" t="n"/>
      <c r="M13" s="10" t="n"/>
      <c r="N13" s="10" t="n"/>
      <c r="O13" s="10" t="n"/>
      <c r="P13" s="11">
        <f>IF(COUNTIF(Segments!$B$2:$C$1000,A13)&gt;0,"Y","N")</f>
        <v/>
      </c>
      <c r="Q13" s="11">
        <f>COUNTIF(Wires!$D$2:$D$1000,A13)+COUNTIF(Wires!$F$2:$F$1000,A13)</f>
        <v/>
      </c>
      <c r="R13" s="11">
        <f>IF(A13="","",IF(D13="SPLICE","",IF(P13="N","fora da topologia; ","")&amp;IF(G13="","sem P/N; ","")&amp;IF(AND(G13&lt;&gt;"",COUNTIF(Parts!$A$2:$A$1000,G13)=0),"P/N não está em Parts; ","")&amp;IF(M13="","sem xyz; ","")))</f>
        <v/>
      </c>
      <c r="S13" s="9" t="n"/>
      <c r="T13" s="10" t="n"/>
    </row>
    <row r="14">
      <c r="A14" s="9" t="inlineStr">
        <is>
          <t>R2D J1</t>
        </is>
      </c>
      <c r="B14" s="9" t="inlineStr">
        <is>
          <t>R2D</t>
        </is>
      </c>
      <c r="C14" s="9" t="inlineStr">
        <is>
          <t>DATABOX</t>
        </is>
      </c>
      <c r="D14" s="9" t="inlineStr">
        <is>
          <t>CONNECTOR</t>
        </is>
      </c>
      <c r="E14" s="11">
        <f>COUNTIF(Pins!$A$2:$A$1000,A14)</f>
        <v/>
      </c>
      <c r="F14" s="10" t="n"/>
      <c r="G14" s="10" t="n"/>
      <c r="H14" s="9" t="n"/>
      <c r="I14" s="9" t="n"/>
      <c r="J14" s="9" t="n"/>
      <c r="K14" s="9" t="n"/>
      <c r="L14" s="9" t="n"/>
      <c r="M14" s="10" t="n"/>
      <c r="N14" s="10" t="n"/>
      <c r="O14" s="10" t="n"/>
      <c r="P14" s="11">
        <f>IF(COUNTIF(Segments!$B$2:$C$1000,A14)&gt;0,"Y","N")</f>
        <v/>
      </c>
      <c r="Q14" s="11">
        <f>COUNTIF(Wires!$D$2:$D$1000,A14)+COUNTIF(Wires!$F$2:$F$1000,A14)</f>
        <v/>
      </c>
      <c r="R14" s="11">
        <f>IF(A14="","",IF(D14="SPLICE","",IF(P14="N","fora da topologia; ","")&amp;IF(G14="","sem P/N; ","")&amp;IF(AND(G14&lt;&gt;"",COUNTIF(Parts!$A$2:$A$1000,G14)=0),"P/N não está em Parts; ","")&amp;IF(M14="","sem xyz; ","")))</f>
        <v/>
      </c>
      <c r="S14" s="9" t="n"/>
      <c r="T14" s="10" t="n"/>
    </row>
    <row r="15">
      <c r="A15" s="9" t="inlineStr">
        <is>
          <t>RASPBERRY RESET J1</t>
        </is>
      </c>
      <c r="B15" s="9" t="inlineStr">
        <is>
          <t>RASPBERRY</t>
        </is>
      </c>
      <c r="C15" s="9" t="inlineStr">
        <is>
          <t>DATABOX</t>
        </is>
      </c>
      <c r="D15" s="9" t="inlineStr">
        <is>
          <t>CONNECTOR</t>
        </is>
      </c>
      <c r="E15" s="11">
        <f>COUNTIF(Pins!$A$2:$A$1000,A15)</f>
        <v/>
      </c>
      <c r="F15" s="10" t="n"/>
      <c r="G15" s="10" t="n"/>
      <c r="H15" s="9" t="n"/>
      <c r="I15" s="9" t="n"/>
      <c r="J15" s="9" t="n"/>
      <c r="K15" s="9" t="n"/>
      <c r="L15" s="9" t="n"/>
      <c r="M15" s="10" t="n"/>
      <c r="N15" s="10" t="n"/>
      <c r="O15" s="10" t="n"/>
      <c r="P15" s="11">
        <f>IF(COUNTIF(Segments!$B$2:$C$1000,A15)&gt;0,"Y","N")</f>
        <v/>
      </c>
      <c r="Q15" s="11">
        <f>COUNTIF(Wires!$D$2:$D$1000,A15)+COUNTIF(Wires!$F$2:$F$1000,A15)</f>
        <v/>
      </c>
      <c r="R15" s="11">
        <f>IF(A15="","",IF(D15="SPLICE","",IF(P15="N","fora da topologia; ","")&amp;IF(G15="","sem P/N; ","")&amp;IF(AND(G15&lt;&gt;"",COUNTIF(Parts!$A$2:$A$1000,G15)=0),"P/N não está em Parts; ","")&amp;IF(M15="","sem xyz; ","")))</f>
        <v/>
      </c>
      <c r="S15" s="9" t="n"/>
      <c r="T15" s="10" t="n"/>
    </row>
    <row r="16">
      <c r="A16" s="9" t="inlineStr">
        <is>
          <t>LED STRIP J1</t>
        </is>
      </c>
      <c r="B16" s="9" t="inlineStr">
        <is>
          <t>LED</t>
        </is>
      </c>
      <c r="C16" s="9" t="inlineStr">
        <is>
          <t>DATABOX</t>
        </is>
      </c>
      <c r="D16" s="9" t="inlineStr">
        <is>
          <t>CONNECTOR</t>
        </is>
      </c>
      <c r="E16" s="11">
        <f>COUNTIF(Pins!$A$2:$A$1000,A16)</f>
        <v/>
      </c>
      <c r="F16" s="10" t="n"/>
      <c r="G16" s="10" t="n"/>
      <c r="H16" s="9" t="n"/>
      <c r="I16" s="9" t="n"/>
      <c r="J16" s="9" t="n"/>
      <c r="K16" s="9" t="n"/>
      <c r="L16" s="9" t="n"/>
      <c r="M16" s="10" t="n"/>
      <c r="N16" s="10" t="n"/>
      <c r="O16" s="10" t="n"/>
      <c r="P16" s="11">
        <f>IF(COUNTIF(Segments!$B$2:$C$1000,A16)&gt;0,"Y","N")</f>
        <v/>
      </c>
      <c r="Q16" s="11">
        <f>COUNTIF(Wires!$D$2:$D$1000,A16)+COUNTIF(Wires!$F$2:$F$1000,A16)</f>
        <v/>
      </c>
      <c r="R16" s="11">
        <f>IF(A16="","",IF(D16="SPLICE","",IF(P16="N","fora da topologia; ","")&amp;IF(G16="","sem P/N; ","")&amp;IF(AND(G16&lt;&gt;"",COUNTIF(Parts!$A$2:$A$1000,G16)=0),"P/N não está em Parts; ","")&amp;IF(M16="","sem xyz; ","")))</f>
        <v/>
      </c>
      <c r="S16" s="9" t="n"/>
      <c r="T16" s="10" t="n"/>
    </row>
    <row r="17">
      <c r="A17" s="9" t="inlineStr">
        <is>
          <t>AMS LED J1</t>
        </is>
      </c>
      <c r="B17" s="9" t="inlineStr">
        <is>
          <t>AMS</t>
        </is>
      </c>
      <c r="C17" s="9" t="inlineStr">
        <is>
          <t>DATABOX</t>
        </is>
      </c>
      <c r="D17" s="9" t="inlineStr">
        <is>
          <t>CONNECTOR</t>
        </is>
      </c>
      <c r="E17" s="11">
        <f>COUNTIF(Pins!$A$2:$A$1000,A17)</f>
        <v/>
      </c>
      <c r="F17" s="10" t="n"/>
      <c r="G17" s="10" t="n"/>
      <c r="H17" s="9" t="n"/>
      <c r="I17" s="9" t="n"/>
      <c r="J17" s="9" t="n"/>
      <c r="K17" s="9" t="n"/>
      <c r="L17" s="9" t="n"/>
      <c r="M17" s="10" t="n"/>
      <c r="N17" s="10" t="n"/>
      <c r="O17" s="10" t="n"/>
      <c r="P17" s="11">
        <f>IF(COUNTIF(Segments!$B$2:$C$1000,A17)&gt;0,"Y","N")</f>
        <v/>
      </c>
      <c r="Q17" s="11">
        <f>COUNTIF(Wires!$D$2:$D$1000,A17)+COUNTIF(Wires!$F$2:$F$1000,A17)</f>
        <v/>
      </c>
      <c r="R17" s="11">
        <f>IF(A17="","",IF(D17="SPLICE","",IF(P17="N","fora da topologia; ","")&amp;IF(G17="","sem P/N; ","")&amp;IF(AND(G17&lt;&gt;"",COUNTIF(Parts!$A$2:$A$1000,G17)=0),"P/N não está em Parts; ","")&amp;IF(M17="","sem xyz; ","")))</f>
        <v/>
      </c>
      <c r="S17" s="9" t="n"/>
      <c r="T17" s="10" t="n"/>
    </row>
    <row r="18">
      <c r="A18" s="9" t="inlineStr">
        <is>
          <t>TS OFF LED J1</t>
        </is>
      </c>
      <c r="B18" s="9" t="inlineStr">
        <is>
          <t>TS</t>
        </is>
      </c>
      <c r="C18" s="9" t="inlineStr">
        <is>
          <t>DATABOX</t>
        </is>
      </c>
      <c r="D18" s="9" t="inlineStr">
        <is>
          <t>CONNECTOR</t>
        </is>
      </c>
      <c r="E18" s="11">
        <f>COUNTIF(Pins!$A$2:$A$1000,A18)</f>
        <v/>
      </c>
      <c r="F18" s="10" t="n"/>
      <c r="G18" s="10" t="n"/>
      <c r="H18" s="9" t="n"/>
      <c r="I18" s="9" t="n"/>
      <c r="J18" s="9" t="n"/>
      <c r="K18" s="9" t="n"/>
      <c r="L18" s="9" t="n"/>
      <c r="M18" s="10" t="n"/>
      <c r="N18" s="10" t="n"/>
      <c r="O18" s="10" t="n"/>
      <c r="P18" s="11">
        <f>IF(COUNTIF(Segments!$B$2:$C$1000,A18)&gt;0,"Y","N")</f>
        <v/>
      </c>
      <c r="Q18" s="11">
        <f>COUNTIF(Wires!$D$2:$D$1000,A18)+COUNTIF(Wires!$F$2:$F$1000,A18)</f>
        <v/>
      </c>
      <c r="R18" s="11">
        <f>IF(A18="","",IF(D18="SPLICE","",IF(P18="N","fora da topologia; ","")&amp;IF(G18="","sem P/N; ","")&amp;IF(AND(G18&lt;&gt;"",COUNTIF(Parts!$A$2:$A$1000,G18)=0),"P/N não está em Parts; ","")&amp;IF(M18="","sem xyz; ","")))</f>
        <v/>
      </c>
      <c r="S18" s="9" t="n"/>
      <c r="T18" s="10" t="n"/>
    </row>
    <row r="19">
      <c r="A19" s="9" t="inlineStr">
        <is>
          <t>IMD LED J1</t>
        </is>
      </c>
      <c r="B19" s="9" t="inlineStr">
        <is>
          <t>IMD</t>
        </is>
      </c>
      <c r="C19" s="9" t="inlineStr">
        <is>
          <t>DATABOX</t>
        </is>
      </c>
      <c r="D19" s="9" t="inlineStr">
        <is>
          <t>CONNECTOR</t>
        </is>
      </c>
      <c r="E19" s="11">
        <f>COUNTIF(Pins!$A$2:$A$1000,A19)</f>
        <v/>
      </c>
      <c r="F19" s="10" t="n"/>
      <c r="G19" s="10" t="n"/>
      <c r="H19" s="9" t="n"/>
      <c r="I19" s="9" t="n"/>
      <c r="J19" s="9" t="n"/>
      <c r="K19" s="9" t="n"/>
      <c r="L19" s="9" t="n"/>
      <c r="M19" s="10" t="n"/>
      <c r="N19" s="10" t="n"/>
      <c r="O19" s="10" t="n"/>
      <c r="P19" s="11">
        <f>IF(COUNTIF(Segments!$B$2:$C$1000,A19)&gt;0,"Y","N")</f>
        <v/>
      </c>
      <c r="Q19" s="11">
        <f>COUNTIF(Wires!$D$2:$D$1000,A19)+COUNTIF(Wires!$F$2:$F$1000,A19)</f>
        <v/>
      </c>
      <c r="R19" s="11">
        <f>IF(A19="","",IF(D19="SPLICE","",IF(P19="N","fora da topologia; ","")&amp;IF(G19="","sem P/N; ","")&amp;IF(AND(G19&lt;&gt;"",COUNTIF(Parts!$A$2:$A$1000,G19)=0),"P/N não está em Parts; ","")&amp;IF(M19="","sem xyz; ","")))</f>
        <v/>
      </c>
      <c r="S19" s="9" t="n"/>
      <c r="T19" s="10" t="n"/>
    </row>
    <row r="20">
      <c r="A20" s="9" t="inlineStr">
        <is>
          <t>SDC LED J1</t>
        </is>
      </c>
      <c r="B20" s="9" t="inlineStr">
        <is>
          <t>SDC</t>
        </is>
      </c>
      <c r="C20" s="9" t="inlineStr">
        <is>
          <t>DATABOX</t>
        </is>
      </c>
      <c r="D20" s="9" t="inlineStr">
        <is>
          <t>CONNECTOR</t>
        </is>
      </c>
      <c r="E20" s="11">
        <f>COUNTIF(Pins!$A$2:$A$1000,A20)</f>
        <v/>
      </c>
      <c r="F20" s="10" t="n"/>
      <c r="G20" s="10" t="n"/>
      <c r="H20" s="9" t="n"/>
      <c r="I20" s="9" t="n"/>
      <c r="J20" s="9" t="n"/>
      <c r="K20" s="9" t="n"/>
      <c r="L20" s="9" t="n"/>
      <c r="M20" s="10" t="n"/>
      <c r="N20" s="10" t="n"/>
      <c r="O20" s="10" t="n"/>
      <c r="P20" s="11">
        <f>IF(COUNTIF(Segments!$B$2:$C$1000,A20)&gt;0,"Y","N")</f>
        <v/>
      </c>
      <c r="Q20" s="11">
        <f>COUNTIF(Wires!$D$2:$D$1000,A20)+COUNTIF(Wires!$F$2:$F$1000,A20)</f>
        <v/>
      </c>
      <c r="R20" s="11">
        <f>IF(A20="","",IF(D20="SPLICE","",IF(P20="N","fora da topologia; ","")&amp;IF(G20="","sem P/N; ","")&amp;IF(AND(G20&lt;&gt;"",COUNTIF(Parts!$A$2:$A$1000,G20)=0),"P/N não está em Parts; ","")&amp;IF(M20="","sem xyz; ","")))</f>
        <v/>
      </c>
      <c r="S20" s="9" t="n"/>
      <c r="T20" s="10" t="n"/>
    </row>
    <row r="21">
      <c r="A21" s="9" t="inlineStr">
        <is>
          <t>LV ON LED J1</t>
        </is>
      </c>
      <c r="B21" s="9" t="inlineStr">
        <is>
          <t>LV</t>
        </is>
      </c>
      <c r="C21" s="9" t="inlineStr">
        <is>
          <t>DATABOX</t>
        </is>
      </c>
      <c r="D21" s="9" t="inlineStr">
        <is>
          <t>CONNECTOR</t>
        </is>
      </c>
      <c r="E21" s="11">
        <f>COUNTIF(Pins!$A$2:$A$1000,A21)</f>
        <v/>
      </c>
      <c r="F21" s="10" t="n"/>
      <c r="G21" s="10" t="n"/>
      <c r="H21" s="9" t="n"/>
      <c r="I21" s="9" t="n"/>
      <c r="J21" s="9" t="n"/>
      <c r="K21" s="9" t="n"/>
      <c r="L21" s="9" t="n"/>
      <c r="M21" s="10" t="n"/>
      <c r="N21" s="10" t="n"/>
      <c r="O21" s="10" t="n"/>
      <c r="P21" s="11">
        <f>IF(COUNTIF(Segments!$B$2:$C$1000,A21)&gt;0,"Y","N")</f>
        <v/>
      </c>
      <c r="Q21" s="11">
        <f>COUNTIF(Wires!$D$2:$D$1000,A21)+COUNTIF(Wires!$F$2:$F$1000,A21)</f>
        <v/>
      </c>
      <c r="R21" s="11">
        <f>IF(A21="","",IF(D21="SPLICE","",IF(P21="N","fora da topologia; ","")&amp;IF(G21="","sem P/N; ","")&amp;IF(AND(G21&lt;&gt;"",COUNTIF(Parts!$A$2:$A$1000,G21)=0),"P/N não está em Parts; ","")&amp;IF(M21="","sem xyz; ","")))</f>
        <v/>
      </c>
      <c r="S21" s="9" t="n"/>
      <c r="T21" s="10" t="n"/>
    </row>
    <row r="22">
      <c r="A22" s="9" t="inlineStr">
        <is>
          <t>TS ON LED J1</t>
        </is>
      </c>
      <c r="B22" s="9" t="inlineStr">
        <is>
          <t>TS</t>
        </is>
      </c>
      <c r="C22" s="9" t="inlineStr">
        <is>
          <t>DATABOX</t>
        </is>
      </c>
      <c r="D22" s="9" t="inlineStr">
        <is>
          <t>CONNECTOR</t>
        </is>
      </c>
      <c r="E22" s="11">
        <f>COUNTIF(Pins!$A$2:$A$1000,A22)</f>
        <v/>
      </c>
      <c r="F22" s="10" t="n"/>
      <c r="G22" s="10" t="n"/>
      <c r="H22" s="9" t="n"/>
      <c r="I22" s="9" t="n"/>
      <c r="J22" s="9" t="n"/>
      <c r="K22" s="9" t="n"/>
      <c r="L22" s="9" t="n"/>
      <c r="M22" s="10" t="n"/>
      <c r="N22" s="10" t="n"/>
      <c r="O22" s="10" t="n"/>
      <c r="P22" s="11">
        <f>IF(COUNTIF(Segments!$B$2:$C$1000,A22)&gt;0,"Y","N")</f>
        <v/>
      </c>
      <c r="Q22" s="11">
        <f>COUNTIF(Wires!$D$2:$D$1000,A22)+COUNTIF(Wires!$F$2:$F$1000,A22)</f>
        <v/>
      </c>
      <c r="R22" s="11">
        <f>IF(A22="","",IF(D22="SPLICE","",IF(P22="N","fora da topologia; ","")&amp;IF(G22="","sem P/N; ","")&amp;IF(AND(G22&lt;&gt;"",COUNTIF(Parts!$A$2:$A$1000,G22)=0),"P/N não está em Parts; ","")&amp;IF(M22="","sem xyz; ","")))</f>
        <v/>
      </c>
      <c r="S22" s="9" t="n"/>
      <c r="T22" s="10" t="n"/>
    </row>
    <row r="23">
      <c r="A23" s="9" t="inlineStr">
        <is>
          <t>FAN J1</t>
        </is>
      </c>
      <c r="B23" s="9" t="inlineStr">
        <is>
          <t>FAN</t>
        </is>
      </c>
      <c r="C23" s="9" t="inlineStr">
        <is>
          <t>DATABOX</t>
        </is>
      </c>
      <c r="D23" s="9" t="inlineStr">
        <is>
          <t>CONNECTOR</t>
        </is>
      </c>
      <c r="E23" s="11">
        <f>COUNTIF(Pins!$A$2:$A$1000,A23)</f>
        <v/>
      </c>
      <c r="F23" s="10" t="n"/>
      <c r="G23" s="10" t="n"/>
      <c r="H23" s="9" t="n"/>
      <c r="I23" s="9" t="n"/>
      <c r="J23" s="9" t="n"/>
      <c r="K23" s="9" t="n"/>
      <c r="L23" s="9" t="n"/>
      <c r="M23" s="10" t="n"/>
      <c r="N23" s="10" t="n"/>
      <c r="O23" s="10" t="n"/>
      <c r="P23" s="11">
        <f>IF(COUNTIF(Segments!$B$2:$C$1000,A23)&gt;0,"Y","N")</f>
        <v/>
      </c>
      <c r="Q23" s="11">
        <f>COUNTIF(Wires!$D$2:$D$1000,A23)+COUNTIF(Wires!$F$2:$F$1000,A23)</f>
        <v/>
      </c>
      <c r="R23" s="11">
        <f>IF(A23="","",IF(D23="SPLICE","",IF(P23="N","fora da topologia; ","")&amp;IF(G23="","sem P/N; ","")&amp;IF(AND(G23&lt;&gt;"",COUNTIF(Parts!$A$2:$A$1000,G23)=0),"P/N não está em Parts; ","")&amp;IF(M23="","sem xyz; ","")))</f>
        <v/>
      </c>
      <c r="S23" s="9" t="n"/>
      <c r="T23" s="10" t="n"/>
    </row>
    <row r="24">
      <c r="A24" s="9" t="inlineStr">
        <is>
          <t>DATABOX J1</t>
        </is>
      </c>
      <c r="B24" s="9" t="inlineStr">
        <is>
          <t>DATABOX</t>
        </is>
      </c>
      <c r="C24" s="9" t="inlineStr">
        <is>
          <t>DATABOX</t>
        </is>
      </c>
      <c r="D24" s="9" t="inlineStr">
        <is>
          <t>CONNECTOR</t>
        </is>
      </c>
      <c r="E24" s="11">
        <f>COUNTIF(Pins!$A$2:$A$1000,A24)</f>
        <v/>
      </c>
      <c r="F24" s="10" t="n"/>
      <c r="G24" s="13" t="inlineStr">
        <is>
          <t>RTS718N32S03</t>
        </is>
      </c>
      <c r="H24" s="9" t="n"/>
      <c r="I24" s="13" t="inlineStr">
        <is>
          <t>Amphenol Sine RTS</t>
        </is>
      </c>
      <c r="J24" s="13" t="inlineStr">
        <is>
          <t>MS20W23F-10</t>
        </is>
      </c>
      <c r="K24" s="9" t="n"/>
      <c r="L24" s="9" t="n"/>
      <c r="M24" s="10" t="n"/>
      <c r="N24" s="10" t="n"/>
      <c r="O24" s="10" t="n"/>
      <c r="P24" s="11">
        <f>IF(COUNTIF(Segments!$B$2:$C$1000,A24)&gt;0,"Y","N")</f>
        <v/>
      </c>
      <c r="Q24" s="11">
        <f>COUNTIF(Wires!$D$2:$D$1000,A24)+COUNTIF(Wires!$F$2:$F$1000,A24)</f>
        <v/>
      </c>
      <c r="R24" s="11">
        <f>IF(A24="","",IF(D24="SPLICE","",IF(P24="N","fora da topologia; ","")&amp;IF(G24="","sem P/N; ","")&amp;IF(AND(G24&lt;&gt;"",COUNTIF(Parts!$A$2:$A$1000,G24)=0),"P/N não está em Parts; ","")&amp;IF(M24="","sem xyz; ","")))</f>
        <v/>
      </c>
      <c r="S24" s="9" t="inlineStr">
        <is>
          <t>Proposto a partir da lista da equipa (Notion · Connectors Harness): conector principal da caixa (lado da caixa, fêmea).</t>
        </is>
      </c>
      <c r="T24" s="13" t="inlineStr">
        <is>
          <t>F</t>
        </is>
      </c>
    </row>
    <row r="25">
      <c r="A25" s="9" t="inlineStr">
        <is>
          <t>DATABOX J2</t>
        </is>
      </c>
      <c r="B25" s="9" t="inlineStr">
        <is>
          <t>DATABOX</t>
        </is>
      </c>
      <c r="C25" s="9" t="inlineStr">
        <is>
          <t>DATABOX</t>
        </is>
      </c>
      <c r="D25" s="9" t="inlineStr">
        <is>
          <t>CONNECTOR</t>
        </is>
      </c>
      <c r="E25" s="11">
        <f>COUNTIF(Pins!$A$2:$A$1000,A25)</f>
        <v/>
      </c>
      <c r="F25" s="10" t="n"/>
      <c r="G25" s="13" t="inlineStr">
        <is>
          <t>RTS718N32S03</t>
        </is>
      </c>
      <c r="H25" s="9" t="n"/>
      <c r="I25" s="13" t="inlineStr">
        <is>
          <t>Amphenol Sine RTS</t>
        </is>
      </c>
      <c r="J25" s="13" t="inlineStr">
        <is>
          <t>MS20W23F-10</t>
        </is>
      </c>
      <c r="K25" s="9" t="n"/>
      <c r="L25" s="9" t="n"/>
      <c r="M25" s="10" t="n"/>
      <c r="N25" s="10" t="n"/>
      <c r="O25" s="10" t="n"/>
      <c r="P25" s="11">
        <f>IF(COUNTIF(Segments!$B$2:$C$1000,A25)&gt;0,"Y","N")</f>
        <v/>
      </c>
      <c r="Q25" s="11">
        <f>COUNTIF(Wires!$D$2:$D$1000,A25)+COUNTIF(Wires!$F$2:$F$1000,A25)</f>
        <v/>
      </c>
      <c r="R25" s="11">
        <f>IF(A25="","",IF(D25="SPLICE","",IF(P25="N","fora da topologia; ","")&amp;IF(G25="","sem P/N; ","")&amp;IF(AND(G25&lt;&gt;"",COUNTIF(Parts!$A$2:$A$1000,G25)=0),"P/N não está em Parts; ","")&amp;IF(M25="","sem xyz; ","")))</f>
        <v/>
      </c>
      <c r="S25" s="9" t="inlineStr">
        <is>
          <t>Proposto a partir da lista da equipa (Notion · Connectors Harness): conector principal da caixa (lado da caixa, fêmea).</t>
        </is>
      </c>
      <c r="T25" s="13" t="inlineStr">
        <is>
          <t>F</t>
        </is>
      </c>
    </row>
    <row r="26">
      <c r="A26" s="9" t="inlineStr">
        <is>
          <t>SPL RASPBERRY J6-2 - 5V</t>
        </is>
      </c>
      <c r="B26" s="9" t="inlineStr">
        <is>
          <t>SPL</t>
        </is>
      </c>
      <c r="C26" s="9" t="inlineStr">
        <is>
          <t>DATABOX</t>
        </is>
      </c>
      <c r="D26" s="9" t="inlineStr">
        <is>
          <t>SPLICE</t>
        </is>
      </c>
      <c r="E26" s="11">
        <f>COUNTIF(Pins!$A$2:$A$1000,A26)</f>
        <v/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1">
        <f>IF(COUNTIF(Segments!$B$2:$C$1000,A26)&gt;0,"Y","N")</f>
        <v/>
      </c>
      <c r="Q26" s="11">
        <f>COUNTIF(Wires!$D$2:$D$1000,A26)+COUNTIF(Wires!$F$2:$F$1000,A26)</f>
        <v/>
      </c>
      <c r="R26" s="11">
        <f>IF(A26="","",IF(D26="SPLICE","",IF(P26="N","fora da topologia; ","")&amp;IF(G26="","sem P/N; ","")&amp;IF(AND(G26&lt;&gt;"",COUNTIF(Parts!$A$2:$A$1000,G26)=0),"P/N não está em Parts; ","")&amp;IF(M26="","sem xyz; ","")))</f>
        <v/>
      </c>
      <c r="S26" s="9" t="n"/>
      <c r="T26" s="9" t="n"/>
    </row>
    <row r="27">
      <c r="A27" s="9" t="inlineStr">
        <is>
          <t>SPL EMERGENCY J1-1</t>
        </is>
      </c>
      <c r="B27" s="9" t="inlineStr">
        <is>
          <t>SPL</t>
        </is>
      </c>
      <c r="C27" s="9" t="inlineStr">
        <is>
          <t>DATABOX</t>
        </is>
      </c>
      <c r="D27" s="9" t="inlineStr">
        <is>
          <t>SPLICE</t>
        </is>
      </c>
      <c r="E27" s="11">
        <f>COUNTIF(Pins!$A$2:$A$1000,A27)</f>
        <v/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1">
        <f>IF(COUNTIF(Segments!$B$2:$C$1000,A27)&gt;0,"Y","N")</f>
        <v/>
      </c>
      <c r="Q27" s="11">
        <f>COUNTIF(Wires!$D$2:$D$1000,A27)+COUNTIF(Wires!$F$2:$F$1000,A27)</f>
        <v/>
      </c>
      <c r="R27" s="11">
        <f>IF(A27="","",IF(D27="SPLICE","",IF(P27="N","fora da topologia; ","")&amp;IF(G27="","sem P/N; ","")&amp;IF(AND(G27&lt;&gt;"",COUNTIF(Parts!$A$2:$A$1000,G27)=0),"P/N não está em Parts; ","")&amp;IF(M27="","sem xyz; ","")))</f>
        <v/>
      </c>
      <c r="S27" s="9" t="n"/>
      <c r="T27" s="9" t="n"/>
    </row>
    <row r="28">
      <c r="A28" s="9" t="inlineStr">
        <is>
          <t>SPL EMERGENCY J1-2</t>
        </is>
      </c>
      <c r="B28" s="9" t="inlineStr">
        <is>
          <t>SPL</t>
        </is>
      </c>
      <c r="C28" s="9" t="inlineStr">
        <is>
          <t>DATABOX</t>
        </is>
      </c>
      <c r="D28" s="9" t="inlineStr">
        <is>
          <t>SPLICE</t>
        </is>
      </c>
      <c r="E28" s="11">
        <f>COUNTIF(Pins!$A$2:$A$1000,A28)</f>
        <v/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1">
        <f>IF(COUNTIF(Segments!$B$2:$C$1000,A28)&gt;0,"Y","N")</f>
        <v/>
      </c>
      <c r="Q28" s="11">
        <f>COUNTIF(Wires!$D$2:$D$1000,A28)+COUNTIF(Wires!$F$2:$F$1000,A28)</f>
        <v/>
      </c>
      <c r="R28" s="11">
        <f>IF(A28="","",IF(D28="SPLICE","",IF(P28="N","fora da topologia; ","")&amp;IF(G28="","sem P/N; ","")&amp;IF(AND(G28&lt;&gt;"",COUNTIF(Parts!$A$2:$A$1000,G28)=0),"P/N não está em Parts; ","")&amp;IF(M28="","sem xyz; ","")))</f>
        <v/>
      </c>
      <c r="S28" s="9" t="n"/>
      <c r="T28" s="9" t="n"/>
    </row>
    <row r="29">
      <c r="A29" s="9" t="inlineStr">
        <is>
          <t>RASPBERRY PI</t>
        </is>
      </c>
      <c r="B29" s="9" t="inlineStr">
        <is>
          <t>RASPBERRY</t>
        </is>
      </c>
      <c r="C29" s="9" t="inlineStr">
        <is>
          <t>DATABOX</t>
        </is>
      </c>
      <c r="D29" s="9" t="inlineStr">
        <is>
          <t>CONNECTOR</t>
        </is>
      </c>
      <c r="E29" s="11">
        <f>COUNTIF(Pins!$A$2:$A$1000,A29)</f>
        <v/>
      </c>
      <c r="F29" s="10" t="n"/>
      <c r="G29" s="10" t="n"/>
      <c r="H29" s="9" t="n"/>
      <c r="I29" s="9" t="n"/>
      <c r="J29" s="9" t="n"/>
      <c r="K29" s="9" t="n"/>
      <c r="L29" s="9" t="n"/>
      <c r="M29" s="10" t="n"/>
      <c r="N29" s="10" t="n"/>
      <c r="O29" s="10" t="n"/>
      <c r="P29" s="11">
        <f>IF(COUNTIF(Segments!$B$2:$C$1000,A29)&gt;0,"Y","N")</f>
        <v/>
      </c>
      <c r="Q29" s="11">
        <f>COUNTIF(Wires!$D$2:$D$1000,A29)+COUNTIF(Wires!$F$2:$F$1000,A29)</f>
        <v/>
      </c>
      <c r="R29" s="11">
        <f>IF(A29="","",IF(D29="SPLICE","",IF(P29="N","fora da topologia; ","")&amp;IF(G29="","sem P/N; ","")&amp;IF(AND(G29&lt;&gt;"",COUNTIF(Parts!$A$2:$A$1000,G29)=0),"P/N não está em Parts; ","")&amp;IF(M29="","sem xyz; ","")))</f>
        <v/>
      </c>
      <c r="S29" s="9" t="inlineStr">
        <is>
          <t>Sem folha própria — criado a partir dos destinos.</t>
        </is>
      </c>
      <c r="T29" s="10" t="n"/>
    </row>
    <row r="30">
      <c r="A30" s="9" t="inlineStr">
        <is>
          <t>RASPBERRY PI MICRO HDMI PORT</t>
        </is>
      </c>
      <c r="B30" s="9" t="inlineStr">
        <is>
          <t>RASPBERRY</t>
        </is>
      </c>
      <c r="C30" s="9" t="inlineStr">
        <is>
          <t>DATABOX</t>
        </is>
      </c>
      <c r="D30" s="9" t="inlineStr">
        <is>
          <t>CONNECTOR</t>
        </is>
      </c>
      <c r="E30" s="11">
        <f>COUNTIF(Pins!$A$2:$A$1000,A30)</f>
        <v/>
      </c>
      <c r="F30" s="10" t="n"/>
      <c r="G30" s="10" t="n"/>
      <c r="H30" s="9" t="n"/>
      <c r="I30" s="9" t="n"/>
      <c r="J30" s="9" t="n"/>
      <c r="K30" s="9" t="n"/>
      <c r="L30" s="9" t="n"/>
      <c r="M30" s="10" t="n"/>
      <c r="N30" s="10" t="n"/>
      <c r="O30" s="10" t="n"/>
      <c r="P30" s="11">
        <f>IF(COUNTIF(Segments!$B$2:$C$1000,A30)&gt;0,"Y","N")</f>
        <v/>
      </c>
      <c r="Q30" s="11">
        <f>COUNTIF(Wires!$D$2:$D$1000,A30)+COUNTIF(Wires!$F$2:$F$1000,A30)</f>
        <v/>
      </c>
      <c r="R30" s="11">
        <f>IF(A30="","",IF(D30="SPLICE","",IF(P30="N","fora da topologia; ","")&amp;IF(G30="","sem P/N; ","")&amp;IF(AND(G30&lt;&gt;"",COUNTIF(Parts!$A$2:$A$1000,G30)=0),"P/N não está em Parts; ","")&amp;IF(M30="","sem xyz; ","")))</f>
        <v/>
      </c>
      <c r="S30" s="9" t="inlineStr">
        <is>
          <t>Sem folha própria — criado a partir dos destinos.</t>
        </is>
      </c>
      <c r="T30" s="10" t="n"/>
    </row>
  </sheetData>
  <autoFilter ref="A1:T30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9" t="inlineStr">
        <is>
          <t>ACQUISITION J1</t>
        </is>
      </c>
      <c r="B2" s="9" t="inlineStr">
        <is>
          <t>1</t>
        </is>
      </c>
      <c r="C2" s="9" t="inlineStr">
        <is>
          <t>24V In</t>
        </is>
      </c>
      <c r="D2" s="9" t="inlineStr">
        <is>
          <t>IN</t>
        </is>
      </c>
      <c r="E2" s="9" t="inlineStr">
        <is>
          <t>24V</t>
        </is>
      </c>
      <c r="F2" s="11">
        <f>IF(N2="","",INDEX(Wires!$A$2:$A$1000,N2))</f>
        <v/>
      </c>
      <c r="G2" s="11">
        <f>IF(N2="","",INDEX(Wires!$C$2:$C$1000,N2))</f>
        <v/>
      </c>
      <c r="H2" s="11">
        <f>IF(N2="","",IF(O2="from",INDEX(Wires!$F$2:$F$1000,N2)&amp;":"&amp;INDEX(Wires!$G$2:$G$1000,N2),INDEX(Wires!$D$2:$D$1000,N2)&amp;":"&amp;INDEX(Wires!$E$2:$E$1000,N2)))</f>
        <v/>
      </c>
      <c r="I2" s="11">
        <f>IF(N2="","",INDEX(Wires!$H$2:$H$1000,N2)&amp;"")</f>
        <v/>
      </c>
      <c r="J2" s="11">
        <f>IF(N2="","",IF(INDEX(Wires!$I$2:$I$1000,N2)="","",INDEX(Wires!$I$2:$I$1000,N2)))</f>
        <v/>
      </c>
      <c r="K2" s="11">
        <f>COUNTIF(Wires!$W$2:$W$1000,M2)+COUNTIF(Wires!$X$2:$X$1000,M2)</f>
        <v/>
      </c>
      <c r="L2" s="11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1">
        <f>A2&amp;":"&amp;B2&amp;IF(EXACT(B2,UPPER(B2)),"","|lc")</f>
        <v/>
      </c>
      <c r="N2" s="11">
        <f>IFERROR(MATCH(M2,Wires!$W$2:$W$1000,0),IFERROR(MATCH(M2,Wires!$X$2:$X$1000,0),""))</f>
        <v/>
      </c>
      <c r="O2" s="11">
        <f>IF(N2="","",IF(ISNUMBER(MATCH(M2,Wires!$W$2:$W$1000,0)),"from","to"))</f>
        <v/>
      </c>
    </row>
    <row r="3">
      <c r="A3" s="9" t="inlineStr">
        <is>
          <t>ACQUISITION J1</t>
        </is>
      </c>
      <c r="B3" s="9" t="inlineStr">
        <is>
          <t>2</t>
        </is>
      </c>
      <c r="C3" s="9" t="inlineStr">
        <is>
          <t>GND In</t>
        </is>
      </c>
      <c r="D3" s="9" t="inlineStr">
        <is>
          <t>IN</t>
        </is>
      </c>
      <c r="E3" s="9" t="inlineStr">
        <is>
          <t>0V</t>
        </is>
      </c>
      <c r="F3" s="11">
        <f>IF(N3="","",INDEX(Wires!$A$2:$A$1000,N3))</f>
        <v/>
      </c>
      <c r="G3" s="11">
        <f>IF(N3="","",INDEX(Wires!$C$2:$C$1000,N3))</f>
        <v/>
      </c>
      <c r="H3" s="11">
        <f>IF(N3="","",IF(O3="from",INDEX(Wires!$F$2:$F$1000,N3)&amp;":"&amp;INDEX(Wires!$G$2:$G$1000,N3),INDEX(Wires!$D$2:$D$1000,N3)&amp;":"&amp;INDEX(Wires!$E$2:$E$1000,N3)))</f>
        <v/>
      </c>
      <c r="I3" s="11">
        <f>IF(N3="","",INDEX(Wires!$H$2:$H$1000,N3)&amp;"")</f>
        <v/>
      </c>
      <c r="J3" s="11">
        <f>IF(N3="","",IF(INDEX(Wires!$I$2:$I$1000,N3)="","",INDEX(Wires!$I$2:$I$1000,N3)))</f>
        <v/>
      </c>
      <c r="K3" s="11">
        <f>COUNTIF(Wires!$W$2:$W$1000,M3)+COUNTIF(Wires!$X$2:$X$1000,M3)</f>
        <v/>
      </c>
      <c r="L3" s="11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1">
        <f>A3&amp;":"&amp;B3&amp;IF(EXACT(B3,UPPER(B3)),"","|lc")</f>
        <v/>
      </c>
      <c r="N3" s="11">
        <f>IFERROR(MATCH(M3,Wires!$W$2:$W$1000,0),IFERROR(MATCH(M3,Wires!$X$2:$X$1000,0),""))</f>
        <v/>
      </c>
      <c r="O3" s="11">
        <f>IF(N3="","",IF(ISNUMBER(MATCH(M3,Wires!$W$2:$W$1000,0)),"from","to"))</f>
        <v/>
      </c>
    </row>
    <row r="4">
      <c r="A4" s="9" t="inlineStr">
        <is>
          <t>ACQUISITION J1</t>
        </is>
      </c>
      <c r="B4" s="9" t="inlineStr">
        <is>
          <t>3</t>
        </is>
      </c>
      <c r="C4" s="9" t="inlineStr">
        <is>
          <t>CAN_AUT_L</t>
        </is>
      </c>
      <c r="D4" s="9" t="inlineStr">
        <is>
          <t>BIDIR</t>
        </is>
      </c>
      <c r="E4" s="9" t="inlineStr">
        <is>
          <t>5V</t>
        </is>
      </c>
      <c r="F4" s="11">
        <f>IF(N4="","",INDEX(Wires!$A$2:$A$1000,N4))</f>
        <v/>
      </c>
      <c r="G4" s="11">
        <f>IF(N4="","",INDEX(Wires!$C$2:$C$1000,N4))</f>
        <v/>
      </c>
      <c r="H4" s="11">
        <f>IF(N4="","",IF(O4="from",INDEX(Wires!$F$2:$F$1000,N4)&amp;":"&amp;INDEX(Wires!$G$2:$G$1000,N4),INDEX(Wires!$D$2:$D$1000,N4)&amp;":"&amp;INDEX(Wires!$E$2:$E$1000,N4)))</f>
        <v/>
      </c>
      <c r="I4" s="11">
        <f>IF(N4="","",INDEX(Wires!$H$2:$H$1000,N4)&amp;"")</f>
        <v/>
      </c>
      <c r="J4" s="11">
        <f>IF(N4="","",IF(INDEX(Wires!$I$2:$I$1000,N4)="","",INDEX(Wires!$I$2:$I$1000,N4)))</f>
        <v/>
      </c>
      <c r="K4" s="11">
        <f>COUNTIF(Wires!$W$2:$W$1000,M4)+COUNTIF(Wires!$X$2:$X$1000,M4)</f>
        <v/>
      </c>
      <c r="L4" s="11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1">
        <f>A4&amp;":"&amp;B4&amp;IF(EXACT(B4,UPPER(B4)),"","|lc")</f>
        <v/>
      </c>
      <c r="N4" s="11">
        <f>IFERROR(MATCH(M4,Wires!$W$2:$W$1000,0),IFERROR(MATCH(M4,Wires!$X$2:$X$1000,0),""))</f>
        <v/>
      </c>
      <c r="O4" s="11">
        <f>IF(N4="","",IF(ISNUMBER(MATCH(M4,Wires!$W$2:$W$1000,0)),"from","to"))</f>
        <v/>
      </c>
    </row>
    <row r="5">
      <c r="A5" s="9" t="inlineStr">
        <is>
          <t>ACQUISITION J1</t>
        </is>
      </c>
      <c r="B5" s="9" t="inlineStr">
        <is>
          <t>4</t>
        </is>
      </c>
      <c r="C5" s="9" t="inlineStr">
        <is>
          <t>CAN_PWT_L</t>
        </is>
      </c>
      <c r="D5" s="9" t="inlineStr">
        <is>
          <t>BIDIR</t>
        </is>
      </c>
      <c r="E5" s="9" t="inlineStr">
        <is>
          <t>5V</t>
        </is>
      </c>
      <c r="F5" s="11">
        <f>IF(N5="","",INDEX(Wires!$A$2:$A$1000,N5))</f>
        <v/>
      </c>
      <c r="G5" s="11">
        <f>IF(N5="","",INDEX(Wires!$C$2:$C$1000,N5))</f>
        <v/>
      </c>
      <c r="H5" s="11">
        <f>IF(N5="","",IF(O5="from",INDEX(Wires!$F$2:$F$1000,N5)&amp;":"&amp;INDEX(Wires!$G$2:$G$1000,N5),INDEX(Wires!$D$2:$D$1000,N5)&amp;":"&amp;INDEX(Wires!$E$2:$E$1000,N5)))</f>
        <v/>
      </c>
      <c r="I5" s="11">
        <f>IF(N5="","",INDEX(Wires!$H$2:$H$1000,N5)&amp;"")</f>
        <v/>
      </c>
      <c r="J5" s="11">
        <f>IF(N5="","",IF(INDEX(Wires!$I$2:$I$1000,N5)="","",INDEX(Wires!$I$2:$I$1000,N5)))</f>
        <v/>
      </c>
      <c r="K5" s="11">
        <f>COUNTIF(Wires!$W$2:$W$1000,M5)+COUNTIF(Wires!$X$2:$X$1000,M5)</f>
        <v/>
      </c>
      <c r="L5" s="11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1">
        <f>A5&amp;":"&amp;B5&amp;IF(EXACT(B5,UPPER(B5)),"","|lc")</f>
        <v/>
      </c>
      <c r="N5" s="11">
        <f>IFERROR(MATCH(M5,Wires!$W$2:$W$1000,0),IFERROR(MATCH(M5,Wires!$X$2:$X$1000,0),""))</f>
        <v/>
      </c>
      <c r="O5" s="11">
        <f>IF(N5="","",IF(ISNUMBER(MATCH(M5,Wires!$W$2:$W$1000,0)),"from","to"))</f>
        <v/>
      </c>
    </row>
    <row r="6">
      <c r="A6" s="9" t="inlineStr">
        <is>
          <t>ACQUISITION J1</t>
        </is>
      </c>
      <c r="B6" s="9" t="inlineStr">
        <is>
          <t>5</t>
        </is>
      </c>
      <c r="C6" s="9" t="inlineStr">
        <is>
          <t>CAN_AUT_H</t>
        </is>
      </c>
      <c r="D6" s="9" t="inlineStr">
        <is>
          <t>BIDIR</t>
        </is>
      </c>
      <c r="E6" s="9" t="inlineStr">
        <is>
          <t>5V</t>
        </is>
      </c>
      <c r="F6" s="11">
        <f>IF(N6="","",INDEX(Wires!$A$2:$A$1000,N6))</f>
        <v/>
      </c>
      <c r="G6" s="11">
        <f>IF(N6="","",INDEX(Wires!$C$2:$C$1000,N6))</f>
        <v/>
      </c>
      <c r="H6" s="11">
        <f>IF(N6="","",IF(O6="from",INDEX(Wires!$F$2:$F$1000,N6)&amp;":"&amp;INDEX(Wires!$G$2:$G$1000,N6),INDEX(Wires!$D$2:$D$1000,N6)&amp;":"&amp;INDEX(Wires!$E$2:$E$1000,N6)))</f>
        <v/>
      </c>
      <c r="I6" s="11">
        <f>IF(N6="","",INDEX(Wires!$H$2:$H$1000,N6)&amp;"")</f>
        <v/>
      </c>
      <c r="J6" s="11">
        <f>IF(N6="","",IF(INDEX(Wires!$I$2:$I$1000,N6)="","",INDEX(Wires!$I$2:$I$1000,N6)))</f>
        <v/>
      </c>
      <c r="K6" s="11">
        <f>COUNTIF(Wires!$W$2:$W$1000,M6)+COUNTIF(Wires!$X$2:$X$1000,M6)</f>
        <v/>
      </c>
      <c r="L6" s="11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1">
        <f>A6&amp;":"&amp;B6&amp;IF(EXACT(B6,UPPER(B6)),"","|lc")</f>
        <v/>
      </c>
      <c r="N6" s="11">
        <f>IFERROR(MATCH(M6,Wires!$W$2:$W$1000,0),IFERROR(MATCH(M6,Wires!$X$2:$X$1000,0),""))</f>
        <v/>
      </c>
      <c r="O6" s="11">
        <f>IF(N6="","",IF(ISNUMBER(MATCH(M6,Wires!$W$2:$W$1000,0)),"from","to"))</f>
        <v/>
      </c>
    </row>
    <row r="7">
      <c r="A7" s="9" t="inlineStr">
        <is>
          <t>ACQUISITION J1</t>
        </is>
      </c>
      <c r="B7" s="9" t="inlineStr">
        <is>
          <t>6</t>
        </is>
      </c>
      <c r="C7" s="9" t="inlineStr">
        <is>
          <t>CAN_PWT_H</t>
        </is>
      </c>
      <c r="D7" s="9" t="inlineStr">
        <is>
          <t>BIDIR</t>
        </is>
      </c>
      <c r="E7" s="9" t="inlineStr">
        <is>
          <t>5V</t>
        </is>
      </c>
      <c r="F7" s="11">
        <f>IF(N7="","",INDEX(Wires!$A$2:$A$1000,N7))</f>
        <v/>
      </c>
      <c r="G7" s="11">
        <f>IF(N7="","",INDEX(Wires!$C$2:$C$1000,N7))</f>
        <v/>
      </c>
      <c r="H7" s="11">
        <f>IF(N7="","",IF(O7="from",INDEX(Wires!$F$2:$F$1000,N7)&amp;":"&amp;INDEX(Wires!$G$2:$G$1000,N7),INDEX(Wires!$D$2:$D$1000,N7)&amp;":"&amp;INDEX(Wires!$E$2:$E$1000,N7)))</f>
        <v/>
      </c>
      <c r="I7" s="11">
        <f>IF(N7="","",INDEX(Wires!$H$2:$H$1000,N7)&amp;"")</f>
        <v/>
      </c>
      <c r="J7" s="11">
        <f>IF(N7="","",IF(INDEX(Wires!$I$2:$I$1000,N7)="","",INDEX(Wires!$I$2:$I$1000,N7)))</f>
        <v/>
      </c>
      <c r="K7" s="11">
        <f>COUNTIF(Wires!$W$2:$W$1000,M7)+COUNTIF(Wires!$X$2:$X$1000,M7)</f>
        <v/>
      </c>
      <c r="L7" s="11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1">
        <f>A7&amp;":"&amp;B7&amp;IF(EXACT(B7,UPPER(B7)),"","|lc")</f>
        <v/>
      </c>
      <c r="N7" s="11">
        <f>IFERROR(MATCH(M7,Wires!$W$2:$W$1000,0),IFERROR(MATCH(M7,Wires!$X$2:$X$1000,0),""))</f>
        <v/>
      </c>
      <c r="O7" s="11">
        <f>IF(N7="","",IF(ISNUMBER(MATCH(M7,Wires!$W$2:$W$1000,0)),"from","to"))</f>
        <v/>
      </c>
    </row>
    <row r="8">
      <c r="A8" s="9" t="inlineStr">
        <is>
          <t>ACQUISITION J1</t>
        </is>
      </c>
      <c r="B8" s="9" t="inlineStr">
        <is>
          <t>7</t>
        </is>
      </c>
      <c r="C8" s="9" t="inlineStr">
        <is>
          <t>Na</t>
        </is>
      </c>
      <c r="D8" s="9" t="n"/>
      <c r="E8" s="9" t="n"/>
      <c r="F8" s="11">
        <f>IF(N8="","",INDEX(Wires!$A$2:$A$1000,N8))</f>
        <v/>
      </c>
      <c r="G8" s="11">
        <f>IF(N8="","",INDEX(Wires!$C$2:$C$1000,N8))</f>
        <v/>
      </c>
      <c r="H8" s="11">
        <f>IF(N8="","",IF(O8="from",INDEX(Wires!$F$2:$F$1000,N8)&amp;":"&amp;INDEX(Wires!$G$2:$G$1000,N8),INDEX(Wires!$D$2:$D$1000,N8)&amp;":"&amp;INDEX(Wires!$E$2:$E$1000,N8)))</f>
        <v/>
      </c>
      <c r="I8" s="11">
        <f>IF(N8="","",INDEX(Wires!$H$2:$H$1000,N8)&amp;"")</f>
        <v/>
      </c>
      <c r="J8" s="11">
        <f>IF(N8="","",IF(INDEX(Wires!$I$2:$I$1000,N8)="","",INDEX(Wires!$I$2:$I$1000,N8)))</f>
        <v/>
      </c>
      <c r="K8" s="11">
        <f>COUNTIF(Wires!$W$2:$W$1000,M8)+COUNTIF(Wires!$X$2:$X$1000,M8)</f>
        <v/>
      </c>
      <c r="L8" s="11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1">
        <f>A8&amp;":"&amp;B8&amp;IF(EXACT(B8,UPPER(B8)),"","|lc")</f>
        <v/>
      </c>
      <c r="N8" s="11">
        <f>IFERROR(MATCH(M8,Wires!$W$2:$W$1000,0),IFERROR(MATCH(M8,Wires!$X$2:$X$1000,0),""))</f>
        <v/>
      </c>
      <c r="O8" s="11">
        <f>IF(N8="","",IF(ISNUMBER(MATCH(M8,Wires!$W$2:$W$1000,0)),"from","to"))</f>
        <v/>
      </c>
    </row>
    <row r="9">
      <c r="A9" s="9" t="inlineStr">
        <is>
          <t>ACQUISITION J1</t>
        </is>
      </c>
      <c r="B9" s="9" t="inlineStr">
        <is>
          <t>8</t>
        </is>
      </c>
      <c r="C9" s="9" t="inlineStr">
        <is>
          <t>CAN_PWT_L</t>
        </is>
      </c>
      <c r="D9" s="9" t="inlineStr">
        <is>
          <t>BIDIR</t>
        </is>
      </c>
      <c r="E9" s="9" t="inlineStr">
        <is>
          <t>5V</t>
        </is>
      </c>
      <c r="F9" s="11">
        <f>IF(N9="","",INDEX(Wires!$A$2:$A$1000,N9))</f>
        <v/>
      </c>
      <c r="G9" s="11">
        <f>IF(N9="","",INDEX(Wires!$C$2:$C$1000,N9))</f>
        <v/>
      </c>
      <c r="H9" s="11">
        <f>IF(N9="","",IF(O9="from",INDEX(Wires!$F$2:$F$1000,N9)&amp;":"&amp;INDEX(Wires!$G$2:$G$1000,N9),INDEX(Wires!$D$2:$D$1000,N9)&amp;":"&amp;INDEX(Wires!$E$2:$E$1000,N9)))</f>
        <v/>
      </c>
      <c r="I9" s="11">
        <f>IF(N9="","",INDEX(Wires!$H$2:$H$1000,N9)&amp;"")</f>
        <v/>
      </c>
      <c r="J9" s="11">
        <f>IF(N9="","",IF(INDEX(Wires!$I$2:$I$1000,N9)="","",INDEX(Wires!$I$2:$I$1000,N9)))</f>
        <v/>
      </c>
      <c r="K9" s="11">
        <f>COUNTIF(Wires!$W$2:$W$1000,M9)+COUNTIF(Wires!$X$2:$X$1000,M9)</f>
        <v/>
      </c>
      <c r="L9" s="11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1">
        <f>A9&amp;":"&amp;B9&amp;IF(EXACT(B9,UPPER(B9)),"","|lc")</f>
        <v/>
      </c>
      <c r="N9" s="11">
        <f>IFERROR(MATCH(M9,Wires!$W$2:$W$1000,0),IFERROR(MATCH(M9,Wires!$X$2:$X$1000,0),""))</f>
        <v/>
      </c>
      <c r="O9" s="11">
        <f>IF(N9="","",IF(ISNUMBER(MATCH(M9,Wires!$W$2:$W$1000,0)),"from","to"))</f>
        <v/>
      </c>
    </row>
    <row r="10">
      <c r="A10" s="9" t="inlineStr">
        <is>
          <t>ACQUISITION J1</t>
        </is>
      </c>
      <c r="B10" s="9" t="inlineStr">
        <is>
          <t>9</t>
        </is>
      </c>
      <c r="C10" s="9" t="inlineStr">
        <is>
          <t>Na</t>
        </is>
      </c>
      <c r="D10" s="9" t="n"/>
      <c r="E10" s="9" t="n"/>
      <c r="F10" s="11">
        <f>IF(N10="","",INDEX(Wires!$A$2:$A$1000,N10))</f>
        <v/>
      </c>
      <c r="G10" s="11">
        <f>IF(N10="","",INDEX(Wires!$C$2:$C$1000,N10))</f>
        <v/>
      </c>
      <c r="H10" s="11">
        <f>IF(N10="","",IF(O10="from",INDEX(Wires!$F$2:$F$1000,N10)&amp;":"&amp;INDEX(Wires!$G$2:$G$1000,N10),INDEX(Wires!$D$2:$D$1000,N10)&amp;":"&amp;INDEX(Wires!$E$2:$E$1000,N10)))</f>
        <v/>
      </c>
      <c r="I10" s="11">
        <f>IF(N10="","",INDEX(Wires!$H$2:$H$1000,N10)&amp;"")</f>
        <v/>
      </c>
      <c r="J10" s="11">
        <f>IF(N10="","",IF(INDEX(Wires!$I$2:$I$1000,N10)="","",INDEX(Wires!$I$2:$I$1000,N10)))</f>
        <v/>
      </c>
      <c r="K10" s="11">
        <f>COUNTIF(Wires!$W$2:$W$1000,M10)+COUNTIF(Wires!$X$2:$X$1000,M10)</f>
        <v/>
      </c>
      <c r="L10" s="11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1">
        <f>A10&amp;":"&amp;B10&amp;IF(EXACT(B10,UPPER(B10)),"","|lc")</f>
        <v/>
      </c>
      <c r="N10" s="11">
        <f>IFERROR(MATCH(M10,Wires!$W$2:$W$1000,0),IFERROR(MATCH(M10,Wires!$X$2:$X$1000,0),""))</f>
        <v/>
      </c>
      <c r="O10" s="11">
        <f>IF(N10="","",IF(ISNUMBER(MATCH(M10,Wires!$W$2:$W$1000,0)),"from","to"))</f>
        <v/>
      </c>
    </row>
    <row r="11">
      <c r="A11" s="9" t="inlineStr">
        <is>
          <t>ACQUISITION J1</t>
        </is>
      </c>
      <c r="B11" s="9" t="inlineStr">
        <is>
          <t>10</t>
        </is>
      </c>
      <c r="C11" s="9" t="inlineStr">
        <is>
          <t>CAN_PWT_H</t>
        </is>
      </c>
      <c r="D11" s="9" t="inlineStr">
        <is>
          <t>BIDIR</t>
        </is>
      </c>
      <c r="E11" s="9" t="inlineStr">
        <is>
          <t>5V</t>
        </is>
      </c>
      <c r="F11" s="11">
        <f>IF(N11="","",INDEX(Wires!$A$2:$A$1000,N11))</f>
        <v/>
      </c>
      <c r="G11" s="11">
        <f>IF(N11="","",INDEX(Wires!$C$2:$C$1000,N11))</f>
        <v/>
      </c>
      <c r="H11" s="11">
        <f>IF(N11="","",IF(O11="from",INDEX(Wires!$F$2:$F$1000,N11)&amp;":"&amp;INDEX(Wires!$G$2:$G$1000,N11),INDEX(Wires!$D$2:$D$1000,N11)&amp;":"&amp;INDEX(Wires!$E$2:$E$1000,N11)))</f>
        <v/>
      </c>
      <c r="I11" s="11">
        <f>IF(N11="","",INDEX(Wires!$H$2:$H$1000,N11)&amp;"")</f>
        <v/>
      </c>
      <c r="J11" s="11">
        <f>IF(N11="","",IF(INDEX(Wires!$I$2:$I$1000,N11)="","",INDEX(Wires!$I$2:$I$1000,N11)))</f>
        <v/>
      </c>
      <c r="K11" s="11">
        <f>COUNTIF(Wires!$W$2:$W$1000,M11)+COUNTIF(Wires!$X$2:$X$1000,M11)</f>
        <v/>
      </c>
      <c r="L11" s="11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1">
        <f>A11&amp;":"&amp;B11&amp;IF(EXACT(B11,UPPER(B11)),"","|lc")</f>
        <v/>
      </c>
      <c r="N11" s="11">
        <f>IFERROR(MATCH(M11,Wires!$W$2:$W$1000,0),IFERROR(MATCH(M11,Wires!$X$2:$X$1000,0),""))</f>
        <v/>
      </c>
      <c r="O11" s="11">
        <f>IF(N11="","",IF(ISNUMBER(MATCH(M11,Wires!$W$2:$W$1000,0)),"from","to"))</f>
        <v/>
      </c>
    </row>
    <row r="12">
      <c r="A12" s="9" t="inlineStr">
        <is>
          <t>ACQUISITION J2</t>
        </is>
      </c>
      <c r="B12" s="9" t="inlineStr">
        <is>
          <t>1</t>
        </is>
      </c>
      <c r="C12" s="9" t="inlineStr">
        <is>
          <t>ST_Angle</t>
        </is>
      </c>
      <c r="D12" s="9" t="inlineStr">
        <is>
          <t>IN</t>
        </is>
      </c>
      <c r="E12" s="9" t="inlineStr">
        <is>
          <t>5V</t>
        </is>
      </c>
      <c r="F12" s="11">
        <f>IF(N12="","",INDEX(Wires!$A$2:$A$1000,N12))</f>
        <v/>
      </c>
      <c r="G12" s="11">
        <f>IF(N12="","",INDEX(Wires!$C$2:$C$1000,N12))</f>
        <v/>
      </c>
      <c r="H12" s="11">
        <f>IF(N12="","",IF(O12="from",INDEX(Wires!$F$2:$F$1000,N12)&amp;":"&amp;INDEX(Wires!$G$2:$G$1000,N12),INDEX(Wires!$D$2:$D$1000,N12)&amp;":"&amp;INDEX(Wires!$E$2:$E$1000,N12)))</f>
        <v/>
      </c>
      <c r="I12" s="11">
        <f>IF(N12="","",INDEX(Wires!$H$2:$H$1000,N12)&amp;"")</f>
        <v/>
      </c>
      <c r="J12" s="11">
        <f>IF(N12="","",IF(INDEX(Wires!$I$2:$I$1000,N12)="","",INDEX(Wires!$I$2:$I$1000,N12)))</f>
        <v/>
      </c>
      <c r="K12" s="11">
        <f>COUNTIF(Wires!$W$2:$W$1000,M12)+COUNTIF(Wires!$X$2:$X$1000,M12)</f>
        <v/>
      </c>
      <c r="L12" s="11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1">
        <f>A12&amp;":"&amp;B12&amp;IF(EXACT(B12,UPPER(B12)),"","|lc")</f>
        <v/>
      </c>
      <c r="N12" s="11">
        <f>IFERROR(MATCH(M12,Wires!$W$2:$W$1000,0),IFERROR(MATCH(M12,Wires!$X$2:$X$1000,0),""))</f>
        <v/>
      </c>
      <c r="O12" s="11">
        <f>IF(N12="","",IF(ISNUMBER(MATCH(M12,Wires!$W$2:$W$1000,0)),"from","to"))</f>
        <v/>
      </c>
    </row>
    <row r="13">
      <c r="A13" s="9" t="inlineStr">
        <is>
          <t>ACQUISITION J2</t>
        </is>
      </c>
      <c r="B13" s="9" t="inlineStr">
        <is>
          <t>2</t>
        </is>
      </c>
      <c r="C13" s="9" t="inlineStr">
        <is>
          <t>Ready to Drive Signal</t>
        </is>
      </c>
      <c r="D13" s="9" t="inlineStr">
        <is>
          <t>IN</t>
        </is>
      </c>
      <c r="E13" s="9" t="inlineStr">
        <is>
          <t>24V</t>
        </is>
      </c>
      <c r="F13" s="11">
        <f>IF(N13="","",INDEX(Wires!$A$2:$A$1000,N13))</f>
        <v/>
      </c>
      <c r="G13" s="11">
        <f>IF(N13="","",INDEX(Wires!$C$2:$C$1000,N13))</f>
        <v/>
      </c>
      <c r="H13" s="11">
        <f>IF(N13="","",IF(O13="from",INDEX(Wires!$F$2:$F$1000,N13)&amp;":"&amp;INDEX(Wires!$G$2:$G$1000,N13),INDEX(Wires!$D$2:$D$1000,N13)&amp;":"&amp;INDEX(Wires!$E$2:$E$1000,N13)))</f>
        <v/>
      </c>
      <c r="I13" s="11">
        <f>IF(N13="","",INDEX(Wires!$H$2:$H$1000,N13)&amp;"")</f>
        <v/>
      </c>
      <c r="J13" s="11">
        <f>IF(N13="","",IF(INDEX(Wires!$I$2:$I$1000,N13)="","",INDEX(Wires!$I$2:$I$1000,N13)))</f>
        <v/>
      </c>
      <c r="K13" s="11">
        <f>COUNTIF(Wires!$W$2:$W$1000,M13)+COUNTIF(Wires!$X$2:$X$1000,M13)</f>
        <v/>
      </c>
      <c r="L13" s="11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1">
        <f>A13&amp;":"&amp;B13&amp;IF(EXACT(B13,UPPER(B13)),"","|lc")</f>
        <v/>
      </c>
      <c r="N13" s="11">
        <f>IFERROR(MATCH(M13,Wires!$W$2:$W$1000,0),IFERROR(MATCH(M13,Wires!$X$2:$X$1000,0),""))</f>
        <v/>
      </c>
      <c r="O13" s="11">
        <f>IF(N13="","",IF(ISNUMBER(MATCH(M13,Wires!$W$2:$W$1000,0)),"from","to"))</f>
        <v/>
      </c>
    </row>
    <row r="14">
      <c r="A14" s="9" t="inlineStr">
        <is>
          <t>ACQUISITION J2</t>
        </is>
      </c>
      <c r="B14" s="9" t="inlineStr">
        <is>
          <t>3</t>
        </is>
      </c>
      <c r="C14" s="9" t="inlineStr">
        <is>
          <t>SUSP_LEFT</t>
        </is>
      </c>
      <c r="D14" s="9" t="inlineStr">
        <is>
          <t>IN</t>
        </is>
      </c>
      <c r="E14" s="9" t="inlineStr">
        <is>
          <t>5V</t>
        </is>
      </c>
      <c r="F14" s="11">
        <f>IF(N14="","",INDEX(Wires!$A$2:$A$1000,N14))</f>
        <v/>
      </c>
      <c r="G14" s="11">
        <f>IF(N14="","",INDEX(Wires!$C$2:$C$1000,N14))</f>
        <v/>
      </c>
      <c r="H14" s="11">
        <f>IF(N14="","",IF(O14="from",INDEX(Wires!$F$2:$F$1000,N14)&amp;":"&amp;INDEX(Wires!$G$2:$G$1000,N14),INDEX(Wires!$D$2:$D$1000,N14)&amp;":"&amp;INDEX(Wires!$E$2:$E$1000,N14)))</f>
        <v/>
      </c>
      <c r="I14" s="11">
        <f>IF(N14="","",INDEX(Wires!$H$2:$H$1000,N14)&amp;"")</f>
        <v/>
      </c>
      <c r="J14" s="11">
        <f>IF(N14="","",IF(INDEX(Wires!$I$2:$I$1000,N14)="","",INDEX(Wires!$I$2:$I$1000,N14)))</f>
        <v/>
      </c>
      <c r="K14" s="11">
        <f>COUNTIF(Wires!$W$2:$W$1000,M14)+COUNTIF(Wires!$X$2:$X$1000,M14)</f>
        <v/>
      </c>
      <c r="L14" s="11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1">
        <f>A14&amp;":"&amp;B14&amp;IF(EXACT(B14,UPPER(B14)),"","|lc")</f>
        <v/>
      </c>
      <c r="N14" s="11">
        <f>IFERROR(MATCH(M14,Wires!$W$2:$W$1000,0),IFERROR(MATCH(M14,Wires!$X$2:$X$1000,0),""))</f>
        <v/>
      </c>
      <c r="O14" s="11">
        <f>IF(N14="","",IF(ISNUMBER(MATCH(M14,Wires!$W$2:$W$1000,0)),"from","to"))</f>
        <v/>
      </c>
    </row>
    <row r="15">
      <c r="A15" s="9" t="inlineStr">
        <is>
          <t>ACQUISITION J2</t>
        </is>
      </c>
      <c r="B15" s="9" t="inlineStr">
        <is>
          <t>4</t>
        </is>
      </c>
      <c r="C15" s="9" t="inlineStr">
        <is>
          <t>Na</t>
        </is>
      </c>
      <c r="D15" s="9" t="n"/>
      <c r="E15" s="9" t="n"/>
      <c r="F15" s="11">
        <f>IF(N15="","",INDEX(Wires!$A$2:$A$1000,N15))</f>
        <v/>
      </c>
      <c r="G15" s="11">
        <f>IF(N15="","",INDEX(Wires!$C$2:$C$1000,N15))</f>
        <v/>
      </c>
      <c r="H15" s="11">
        <f>IF(N15="","",IF(O15="from",INDEX(Wires!$F$2:$F$1000,N15)&amp;":"&amp;INDEX(Wires!$G$2:$G$1000,N15),INDEX(Wires!$D$2:$D$1000,N15)&amp;":"&amp;INDEX(Wires!$E$2:$E$1000,N15)))</f>
        <v/>
      </c>
      <c r="I15" s="11">
        <f>IF(N15="","",INDEX(Wires!$H$2:$H$1000,N15)&amp;"")</f>
        <v/>
      </c>
      <c r="J15" s="11">
        <f>IF(N15="","",IF(INDEX(Wires!$I$2:$I$1000,N15)="","",INDEX(Wires!$I$2:$I$1000,N15)))</f>
        <v/>
      </c>
      <c r="K15" s="11">
        <f>COUNTIF(Wires!$W$2:$W$1000,M15)+COUNTIF(Wires!$X$2:$X$1000,M15)</f>
        <v/>
      </c>
      <c r="L15" s="11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1">
        <f>A15&amp;":"&amp;B15&amp;IF(EXACT(B15,UPPER(B15)),"","|lc")</f>
        <v/>
      </c>
      <c r="N15" s="11">
        <f>IFERROR(MATCH(M15,Wires!$W$2:$W$1000,0),IFERROR(MATCH(M15,Wires!$X$2:$X$1000,0),""))</f>
        <v/>
      </c>
      <c r="O15" s="11">
        <f>IF(N15="","",IF(ISNUMBER(MATCH(M15,Wires!$W$2:$W$1000,0)),"from","to"))</f>
        <v/>
      </c>
    </row>
    <row r="16">
      <c r="A16" s="9" t="inlineStr">
        <is>
          <t>ACQUISITION J2</t>
        </is>
      </c>
      <c r="B16" s="9" t="inlineStr">
        <is>
          <t>5</t>
        </is>
      </c>
      <c r="C16" s="9" t="inlineStr">
        <is>
          <t>SUSP_RIGHT</t>
        </is>
      </c>
      <c r="D16" s="9" t="inlineStr">
        <is>
          <t>IN</t>
        </is>
      </c>
      <c r="E16" s="9" t="inlineStr">
        <is>
          <t>5V</t>
        </is>
      </c>
      <c r="F16" s="11">
        <f>IF(N16="","",INDEX(Wires!$A$2:$A$1000,N16))</f>
        <v/>
      </c>
      <c r="G16" s="11">
        <f>IF(N16="","",INDEX(Wires!$C$2:$C$1000,N16))</f>
        <v/>
      </c>
      <c r="H16" s="11">
        <f>IF(N16="","",IF(O16="from",INDEX(Wires!$F$2:$F$1000,N16)&amp;":"&amp;INDEX(Wires!$G$2:$G$1000,N16),INDEX(Wires!$D$2:$D$1000,N16)&amp;":"&amp;INDEX(Wires!$E$2:$E$1000,N16)))</f>
        <v/>
      </c>
      <c r="I16" s="11">
        <f>IF(N16="","",INDEX(Wires!$H$2:$H$1000,N16)&amp;"")</f>
        <v/>
      </c>
      <c r="J16" s="11">
        <f>IF(N16="","",IF(INDEX(Wires!$I$2:$I$1000,N16)="","",INDEX(Wires!$I$2:$I$1000,N16)))</f>
        <v/>
      </c>
      <c r="K16" s="11">
        <f>COUNTIF(Wires!$W$2:$W$1000,M16)+COUNTIF(Wires!$X$2:$X$1000,M16)</f>
        <v/>
      </c>
      <c r="L16" s="11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1">
        <f>A16&amp;":"&amp;B16&amp;IF(EXACT(B16,UPPER(B16)),"","|lc")</f>
        <v/>
      </c>
      <c r="N16" s="11">
        <f>IFERROR(MATCH(M16,Wires!$W$2:$W$1000,0),IFERROR(MATCH(M16,Wires!$X$2:$X$1000,0),""))</f>
        <v/>
      </c>
      <c r="O16" s="11">
        <f>IF(N16="","",IF(ISNUMBER(MATCH(M16,Wires!$W$2:$W$1000,0)),"from","to"))</f>
        <v/>
      </c>
    </row>
    <row r="17">
      <c r="A17" s="9" t="inlineStr">
        <is>
          <t>ACQUISITION J2</t>
        </is>
      </c>
      <c r="B17" s="9" t="inlineStr">
        <is>
          <t>6</t>
        </is>
      </c>
      <c r="C17" s="9" t="inlineStr">
        <is>
          <t>Inertia</t>
        </is>
      </c>
      <c r="D17" s="9" t="inlineStr">
        <is>
          <t>IN</t>
        </is>
      </c>
      <c r="E17" s="9" t="inlineStr">
        <is>
          <t>24V</t>
        </is>
      </c>
      <c r="F17" s="11">
        <f>IF(N17="","",INDEX(Wires!$A$2:$A$1000,N17))</f>
        <v/>
      </c>
      <c r="G17" s="11">
        <f>IF(N17="","",INDEX(Wires!$C$2:$C$1000,N17))</f>
        <v/>
      </c>
      <c r="H17" s="11">
        <f>IF(N17="","",IF(O17="from",INDEX(Wires!$F$2:$F$1000,N17)&amp;":"&amp;INDEX(Wires!$G$2:$G$1000,N17),INDEX(Wires!$D$2:$D$1000,N17)&amp;":"&amp;INDEX(Wires!$E$2:$E$1000,N17)))</f>
        <v/>
      </c>
      <c r="I17" s="11">
        <f>IF(N17="","",INDEX(Wires!$H$2:$H$1000,N17)&amp;"")</f>
        <v/>
      </c>
      <c r="J17" s="11">
        <f>IF(N17="","",IF(INDEX(Wires!$I$2:$I$1000,N17)="","",INDEX(Wires!$I$2:$I$1000,N17)))</f>
        <v/>
      </c>
      <c r="K17" s="11">
        <f>COUNTIF(Wires!$W$2:$W$1000,M17)+COUNTIF(Wires!$X$2:$X$1000,M17)</f>
        <v/>
      </c>
      <c r="L17" s="11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1">
        <f>A17&amp;":"&amp;B17&amp;IF(EXACT(B17,UPPER(B17)),"","|lc")</f>
        <v/>
      </c>
      <c r="N17" s="11">
        <f>IFERROR(MATCH(M17,Wires!$W$2:$W$1000,0),IFERROR(MATCH(M17,Wires!$X$2:$X$1000,0),""))</f>
        <v/>
      </c>
      <c r="O17" s="11">
        <f>IF(N17="","",IF(ISNUMBER(MATCH(M17,Wires!$W$2:$W$1000,0)),"from","to"))</f>
        <v/>
      </c>
    </row>
    <row r="18">
      <c r="A18" s="9" t="inlineStr">
        <is>
          <t>ACQUISITION J2</t>
        </is>
      </c>
      <c r="B18" s="9" t="inlineStr">
        <is>
          <t>7</t>
        </is>
      </c>
      <c r="C18" s="9" t="inlineStr">
        <is>
          <t>Ignition Signal</t>
        </is>
      </c>
      <c r="D18" s="9" t="inlineStr">
        <is>
          <t>IN</t>
        </is>
      </c>
      <c r="E18" s="9" t="inlineStr">
        <is>
          <t>24V</t>
        </is>
      </c>
      <c r="F18" s="11">
        <f>IF(N18="","",INDEX(Wires!$A$2:$A$1000,N18))</f>
        <v/>
      </c>
      <c r="G18" s="11">
        <f>IF(N18="","",INDEX(Wires!$C$2:$C$1000,N18))</f>
        <v/>
      </c>
      <c r="H18" s="11">
        <f>IF(N18="","",IF(O18="from",INDEX(Wires!$F$2:$F$1000,N18)&amp;":"&amp;INDEX(Wires!$G$2:$G$1000,N18),INDEX(Wires!$D$2:$D$1000,N18)&amp;":"&amp;INDEX(Wires!$E$2:$E$1000,N18)))</f>
        <v/>
      </c>
      <c r="I18" s="11">
        <f>IF(N18="","",INDEX(Wires!$H$2:$H$1000,N18)&amp;"")</f>
        <v/>
      </c>
      <c r="J18" s="11">
        <f>IF(N18="","",IF(INDEX(Wires!$I$2:$I$1000,N18)="","",INDEX(Wires!$I$2:$I$1000,N18)))</f>
        <v/>
      </c>
      <c r="K18" s="11">
        <f>COUNTIF(Wires!$W$2:$W$1000,M18)+COUNTIF(Wires!$X$2:$X$1000,M18)</f>
        <v/>
      </c>
      <c r="L18" s="11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1">
        <f>A18&amp;":"&amp;B18&amp;IF(EXACT(B18,UPPER(B18)),"","|lc")</f>
        <v/>
      </c>
      <c r="N18" s="11">
        <f>IFERROR(MATCH(M18,Wires!$W$2:$W$1000,0),IFERROR(MATCH(M18,Wires!$X$2:$X$1000,0),""))</f>
        <v/>
      </c>
      <c r="O18" s="11">
        <f>IF(N18="","",IF(ISNUMBER(MATCH(M18,Wires!$W$2:$W$1000,0)),"from","to"))</f>
        <v/>
      </c>
    </row>
    <row r="19">
      <c r="A19" s="9" t="inlineStr">
        <is>
          <t>ACQUISITION J2</t>
        </is>
      </c>
      <c r="B19" s="9" t="inlineStr">
        <is>
          <t>8</t>
        </is>
      </c>
      <c r="C19" s="9" t="inlineStr">
        <is>
          <t>Emergency Button</t>
        </is>
      </c>
      <c r="D19" s="9" t="inlineStr">
        <is>
          <t>IN</t>
        </is>
      </c>
      <c r="E19" s="9" t="inlineStr">
        <is>
          <t>24V</t>
        </is>
      </c>
      <c r="F19" s="11">
        <f>IF(N19="","",INDEX(Wires!$A$2:$A$1000,N19))</f>
        <v/>
      </c>
      <c r="G19" s="11">
        <f>IF(N19="","",INDEX(Wires!$C$2:$C$1000,N19))</f>
        <v/>
      </c>
      <c r="H19" s="11">
        <f>IF(N19="","",IF(O19="from",INDEX(Wires!$F$2:$F$1000,N19)&amp;":"&amp;INDEX(Wires!$G$2:$G$1000,N19),INDEX(Wires!$D$2:$D$1000,N19)&amp;":"&amp;INDEX(Wires!$E$2:$E$1000,N19)))</f>
        <v/>
      </c>
      <c r="I19" s="11">
        <f>IF(N19="","",INDEX(Wires!$H$2:$H$1000,N19)&amp;"")</f>
        <v/>
      </c>
      <c r="J19" s="11">
        <f>IF(N19="","",IF(INDEX(Wires!$I$2:$I$1000,N19)="","",INDEX(Wires!$I$2:$I$1000,N19)))</f>
        <v/>
      </c>
      <c r="K19" s="11">
        <f>COUNTIF(Wires!$W$2:$W$1000,M19)+COUNTIF(Wires!$X$2:$X$1000,M19)</f>
        <v/>
      </c>
      <c r="L19" s="11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1">
        <f>A19&amp;":"&amp;B19&amp;IF(EXACT(B19,UPPER(B19)),"","|lc")</f>
        <v/>
      </c>
      <c r="N19" s="11">
        <f>IFERROR(MATCH(M19,Wires!$W$2:$W$1000,0),IFERROR(MATCH(M19,Wires!$X$2:$X$1000,0),""))</f>
        <v/>
      </c>
      <c r="O19" s="11">
        <f>IF(N19="","",IF(ISNUMBER(MATCH(M19,Wires!$W$2:$W$1000,0)),"from","to"))</f>
        <v/>
      </c>
    </row>
    <row r="20">
      <c r="A20" s="9" t="inlineStr">
        <is>
          <t>ACQUISITION J3</t>
        </is>
      </c>
      <c r="B20" s="9" t="inlineStr">
        <is>
          <t>1</t>
        </is>
      </c>
      <c r="C20" s="9" t="inlineStr">
        <is>
          <t>ST_ANGLE_Supply</t>
        </is>
      </c>
      <c r="D20" s="9" t="inlineStr">
        <is>
          <t>OUT</t>
        </is>
      </c>
      <c r="E20" s="9" t="inlineStr">
        <is>
          <t>5V</t>
        </is>
      </c>
      <c r="F20" s="11">
        <f>IF(N20="","",INDEX(Wires!$A$2:$A$1000,N20))</f>
        <v/>
      </c>
      <c r="G20" s="11">
        <f>IF(N20="","",INDEX(Wires!$C$2:$C$1000,N20))</f>
        <v/>
      </c>
      <c r="H20" s="11">
        <f>IF(N20="","",IF(O20="from",INDEX(Wires!$F$2:$F$1000,N20)&amp;":"&amp;INDEX(Wires!$G$2:$G$1000,N20),INDEX(Wires!$D$2:$D$1000,N20)&amp;":"&amp;INDEX(Wires!$E$2:$E$1000,N20)))</f>
        <v/>
      </c>
      <c r="I20" s="11">
        <f>IF(N20="","",INDEX(Wires!$H$2:$H$1000,N20)&amp;"")</f>
        <v/>
      </c>
      <c r="J20" s="11">
        <f>IF(N20="","",IF(INDEX(Wires!$I$2:$I$1000,N20)="","",INDEX(Wires!$I$2:$I$1000,N20)))</f>
        <v/>
      </c>
      <c r="K20" s="11">
        <f>COUNTIF(Wires!$W$2:$W$1000,M20)+COUNTIF(Wires!$X$2:$X$1000,M20)</f>
        <v/>
      </c>
      <c r="L20" s="11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1">
        <f>A20&amp;":"&amp;B20&amp;IF(EXACT(B20,UPPER(B20)),"","|lc")</f>
        <v/>
      </c>
      <c r="N20" s="11">
        <f>IFERROR(MATCH(M20,Wires!$W$2:$W$1000,0),IFERROR(MATCH(M20,Wires!$X$2:$X$1000,0),""))</f>
        <v/>
      </c>
      <c r="O20" s="11">
        <f>IF(N20="","",IF(ISNUMBER(MATCH(M20,Wires!$W$2:$W$1000,0)),"from","to"))</f>
        <v/>
      </c>
    </row>
    <row r="21">
      <c r="A21" s="9" t="inlineStr">
        <is>
          <t>ACQUISITION J3</t>
        </is>
      </c>
      <c r="B21" s="9" t="inlineStr">
        <is>
          <t>2</t>
        </is>
      </c>
      <c r="C21" s="9" t="inlineStr">
        <is>
          <t>SUSP_LEFT_Supply</t>
        </is>
      </c>
      <c r="D21" s="9" t="inlineStr">
        <is>
          <t>OUT</t>
        </is>
      </c>
      <c r="E21" s="9" t="inlineStr">
        <is>
          <t>5V</t>
        </is>
      </c>
      <c r="F21" s="11">
        <f>IF(N21="","",INDEX(Wires!$A$2:$A$1000,N21))</f>
        <v/>
      </c>
      <c r="G21" s="11">
        <f>IF(N21="","",INDEX(Wires!$C$2:$C$1000,N21))</f>
        <v/>
      </c>
      <c r="H21" s="11">
        <f>IF(N21="","",IF(O21="from",INDEX(Wires!$F$2:$F$1000,N21)&amp;":"&amp;INDEX(Wires!$G$2:$G$1000,N21),INDEX(Wires!$D$2:$D$1000,N21)&amp;":"&amp;INDEX(Wires!$E$2:$E$1000,N21)))</f>
        <v/>
      </c>
      <c r="I21" s="11">
        <f>IF(N21="","",INDEX(Wires!$H$2:$H$1000,N21)&amp;"")</f>
        <v/>
      </c>
      <c r="J21" s="11">
        <f>IF(N21="","",IF(INDEX(Wires!$I$2:$I$1000,N21)="","",INDEX(Wires!$I$2:$I$1000,N21)))</f>
        <v/>
      </c>
      <c r="K21" s="11">
        <f>COUNTIF(Wires!$W$2:$W$1000,M21)+COUNTIF(Wires!$X$2:$X$1000,M21)</f>
        <v/>
      </c>
      <c r="L21" s="11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1">
        <f>A21&amp;":"&amp;B21&amp;IF(EXACT(B21,UPPER(B21)),"","|lc")</f>
        <v/>
      </c>
      <c r="N21" s="11">
        <f>IFERROR(MATCH(M21,Wires!$W$2:$W$1000,0),IFERROR(MATCH(M21,Wires!$X$2:$X$1000,0),""))</f>
        <v/>
      </c>
      <c r="O21" s="11">
        <f>IF(N21="","",IF(ISNUMBER(MATCH(M21,Wires!$W$2:$W$1000,0)),"from","to"))</f>
        <v/>
      </c>
    </row>
    <row r="22">
      <c r="A22" s="9" t="inlineStr">
        <is>
          <t>ACQUISITION J3</t>
        </is>
      </c>
      <c r="B22" s="9" t="inlineStr">
        <is>
          <t>3</t>
        </is>
      </c>
      <c r="C22" s="9" t="inlineStr">
        <is>
          <t>SUSP_RIGHT_Supply</t>
        </is>
      </c>
      <c r="D22" s="9" t="inlineStr">
        <is>
          <t>OUT</t>
        </is>
      </c>
      <c r="E22" s="9" t="inlineStr">
        <is>
          <t>5V</t>
        </is>
      </c>
      <c r="F22" s="11">
        <f>IF(N22="","",INDEX(Wires!$A$2:$A$1000,N22))</f>
        <v/>
      </c>
      <c r="G22" s="11">
        <f>IF(N22="","",INDEX(Wires!$C$2:$C$1000,N22))</f>
        <v/>
      </c>
      <c r="H22" s="11">
        <f>IF(N22="","",IF(O22="from",INDEX(Wires!$F$2:$F$1000,N22)&amp;":"&amp;INDEX(Wires!$G$2:$G$1000,N22),INDEX(Wires!$D$2:$D$1000,N22)&amp;":"&amp;INDEX(Wires!$E$2:$E$1000,N22)))</f>
        <v/>
      </c>
      <c r="I22" s="11">
        <f>IF(N22="","",INDEX(Wires!$H$2:$H$1000,N22)&amp;"")</f>
        <v/>
      </c>
      <c r="J22" s="11">
        <f>IF(N22="","",IF(INDEX(Wires!$I$2:$I$1000,N22)="","",INDEX(Wires!$I$2:$I$1000,N22)))</f>
        <v/>
      </c>
      <c r="K22" s="11">
        <f>COUNTIF(Wires!$W$2:$W$1000,M22)+COUNTIF(Wires!$X$2:$X$1000,M22)</f>
        <v/>
      </c>
      <c r="L22" s="11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1">
        <f>A22&amp;":"&amp;B22&amp;IF(EXACT(B22,UPPER(B22)),"","|lc")</f>
        <v/>
      </c>
      <c r="N22" s="11">
        <f>IFERROR(MATCH(M22,Wires!$W$2:$W$1000,0),IFERROR(MATCH(M22,Wires!$X$2:$X$1000,0),""))</f>
        <v/>
      </c>
      <c r="O22" s="11">
        <f>IF(N22="","",IF(ISNUMBER(MATCH(M22,Wires!$W$2:$W$1000,0)),"from","to"))</f>
        <v/>
      </c>
    </row>
    <row r="23">
      <c r="A23" s="9" t="inlineStr">
        <is>
          <t>ACQUISITION J3</t>
        </is>
      </c>
      <c r="B23" s="9" t="inlineStr">
        <is>
          <t>4</t>
        </is>
      </c>
      <c r="C23" s="9" t="inlineStr">
        <is>
          <t>Ignition_Supply</t>
        </is>
      </c>
      <c r="D23" s="9" t="inlineStr">
        <is>
          <t>OUT</t>
        </is>
      </c>
      <c r="E23" s="9" t="inlineStr">
        <is>
          <t>24V</t>
        </is>
      </c>
      <c r="F23" s="11">
        <f>IF(N23="","",INDEX(Wires!$A$2:$A$1000,N23))</f>
        <v/>
      </c>
      <c r="G23" s="11">
        <f>IF(N23="","",INDEX(Wires!$C$2:$C$1000,N23))</f>
        <v/>
      </c>
      <c r="H23" s="11">
        <f>IF(N23="","",IF(O23="from",INDEX(Wires!$F$2:$F$1000,N23)&amp;":"&amp;INDEX(Wires!$G$2:$G$1000,N23),INDEX(Wires!$D$2:$D$1000,N23)&amp;":"&amp;INDEX(Wires!$E$2:$E$1000,N23)))</f>
        <v/>
      </c>
      <c r="I23" s="11">
        <f>IF(N23="","",INDEX(Wires!$H$2:$H$1000,N23)&amp;"")</f>
        <v/>
      </c>
      <c r="J23" s="11">
        <f>IF(N23="","",IF(INDEX(Wires!$I$2:$I$1000,N23)="","",INDEX(Wires!$I$2:$I$1000,N23)))</f>
        <v/>
      </c>
      <c r="K23" s="11">
        <f>COUNTIF(Wires!$W$2:$W$1000,M23)+COUNTIF(Wires!$X$2:$X$1000,M23)</f>
        <v/>
      </c>
      <c r="L23" s="11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1">
        <f>A23&amp;":"&amp;B23&amp;IF(EXACT(B23,UPPER(B23)),"","|lc")</f>
        <v/>
      </c>
      <c r="N23" s="11">
        <f>IFERROR(MATCH(M23,Wires!$W$2:$W$1000,0),IFERROR(MATCH(M23,Wires!$X$2:$X$1000,0),""))</f>
        <v/>
      </c>
      <c r="O23" s="11">
        <f>IF(N23="","",IF(ISNUMBER(MATCH(M23,Wires!$W$2:$W$1000,0)),"from","to"))</f>
        <v/>
      </c>
    </row>
    <row r="24">
      <c r="A24" s="9" t="inlineStr">
        <is>
          <t>ACQUISITION J3</t>
        </is>
      </c>
      <c r="B24" s="9" t="inlineStr">
        <is>
          <t>5</t>
        </is>
      </c>
      <c r="C24" s="9" t="inlineStr">
        <is>
          <t>R2D-Supply</t>
        </is>
      </c>
      <c r="D24" s="9" t="inlineStr">
        <is>
          <t>OUT</t>
        </is>
      </c>
      <c r="E24" s="9" t="inlineStr">
        <is>
          <t>24V</t>
        </is>
      </c>
      <c r="F24" s="11">
        <f>IF(N24="","",INDEX(Wires!$A$2:$A$1000,N24))</f>
        <v/>
      </c>
      <c r="G24" s="11">
        <f>IF(N24="","",INDEX(Wires!$C$2:$C$1000,N24))</f>
        <v/>
      </c>
      <c r="H24" s="11">
        <f>IF(N24="","",IF(O24="from",INDEX(Wires!$F$2:$F$1000,N24)&amp;":"&amp;INDEX(Wires!$G$2:$G$1000,N24),INDEX(Wires!$D$2:$D$1000,N24)&amp;":"&amp;INDEX(Wires!$E$2:$E$1000,N24)))</f>
        <v/>
      </c>
      <c r="I24" s="11">
        <f>IF(N24="","",INDEX(Wires!$H$2:$H$1000,N24)&amp;"")</f>
        <v/>
      </c>
      <c r="J24" s="11">
        <f>IF(N24="","",IF(INDEX(Wires!$I$2:$I$1000,N24)="","",INDEX(Wires!$I$2:$I$1000,N24)))</f>
        <v/>
      </c>
      <c r="K24" s="11">
        <f>COUNTIF(Wires!$W$2:$W$1000,M24)+COUNTIF(Wires!$X$2:$X$1000,M24)</f>
        <v/>
      </c>
      <c r="L24" s="11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1">
        <f>A24&amp;":"&amp;B24&amp;IF(EXACT(B24,UPPER(B24)),"","|lc")</f>
        <v/>
      </c>
      <c r="N24" s="11">
        <f>IFERROR(MATCH(M24,Wires!$W$2:$W$1000,0),IFERROR(MATCH(M24,Wires!$X$2:$X$1000,0),""))</f>
        <v/>
      </c>
      <c r="O24" s="11">
        <f>IF(N24="","",IF(ISNUMBER(MATCH(M24,Wires!$W$2:$W$1000,0)),"from","to"))</f>
        <v/>
      </c>
    </row>
    <row r="25">
      <c r="A25" s="9" t="inlineStr">
        <is>
          <t>ACQUISITION J3</t>
        </is>
      </c>
      <c r="B25" s="9" t="inlineStr">
        <is>
          <t>6</t>
        </is>
      </c>
      <c r="C25" s="9" t="inlineStr">
        <is>
          <t>ST_ANGLE_GROUND</t>
        </is>
      </c>
      <c r="D25" s="9" t="inlineStr">
        <is>
          <t>OUT</t>
        </is>
      </c>
      <c r="E25" s="9" t="inlineStr">
        <is>
          <t>0V</t>
        </is>
      </c>
      <c r="F25" s="11">
        <f>IF(N25="","",INDEX(Wires!$A$2:$A$1000,N25))</f>
        <v/>
      </c>
      <c r="G25" s="11">
        <f>IF(N25="","",INDEX(Wires!$C$2:$C$1000,N25))</f>
        <v/>
      </c>
      <c r="H25" s="11">
        <f>IF(N25="","",IF(O25="from",INDEX(Wires!$F$2:$F$1000,N25)&amp;":"&amp;INDEX(Wires!$G$2:$G$1000,N25),INDEX(Wires!$D$2:$D$1000,N25)&amp;":"&amp;INDEX(Wires!$E$2:$E$1000,N25)))</f>
        <v/>
      </c>
      <c r="I25" s="11">
        <f>IF(N25="","",INDEX(Wires!$H$2:$H$1000,N25)&amp;"")</f>
        <v/>
      </c>
      <c r="J25" s="11">
        <f>IF(N25="","",IF(INDEX(Wires!$I$2:$I$1000,N25)="","",INDEX(Wires!$I$2:$I$1000,N25)))</f>
        <v/>
      </c>
      <c r="K25" s="11">
        <f>COUNTIF(Wires!$W$2:$W$1000,M25)+COUNTIF(Wires!$X$2:$X$1000,M25)</f>
        <v/>
      </c>
      <c r="L25" s="11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1">
        <f>A25&amp;":"&amp;B25&amp;IF(EXACT(B25,UPPER(B25)),"","|lc")</f>
        <v/>
      </c>
      <c r="N25" s="11">
        <f>IFERROR(MATCH(M25,Wires!$W$2:$W$1000,0),IFERROR(MATCH(M25,Wires!$X$2:$X$1000,0),""))</f>
        <v/>
      </c>
      <c r="O25" s="11">
        <f>IF(N25="","",IF(ISNUMBER(MATCH(M25,Wires!$W$2:$W$1000,0)),"from","to"))</f>
        <v/>
      </c>
    </row>
    <row r="26">
      <c r="A26" s="9" t="inlineStr">
        <is>
          <t>ACQUISITION J3</t>
        </is>
      </c>
      <c r="B26" s="9" t="inlineStr">
        <is>
          <t>7</t>
        </is>
      </c>
      <c r="C26" s="9" t="inlineStr">
        <is>
          <t>R2D_LED_Supply</t>
        </is>
      </c>
      <c r="D26" s="9" t="inlineStr">
        <is>
          <t>OUT</t>
        </is>
      </c>
      <c r="E26" s="9" t="inlineStr">
        <is>
          <t>24V</t>
        </is>
      </c>
      <c r="F26" s="11">
        <f>IF(N26="","",INDEX(Wires!$A$2:$A$1000,N26))</f>
        <v/>
      </c>
      <c r="G26" s="11">
        <f>IF(N26="","",INDEX(Wires!$C$2:$C$1000,N26))</f>
        <v/>
      </c>
      <c r="H26" s="11">
        <f>IF(N26="","",IF(O26="from",INDEX(Wires!$F$2:$F$1000,N26)&amp;":"&amp;INDEX(Wires!$G$2:$G$1000,N26),INDEX(Wires!$D$2:$D$1000,N26)&amp;":"&amp;INDEX(Wires!$E$2:$E$1000,N26)))</f>
        <v/>
      </c>
      <c r="I26" s="11">
        <f>IF(N26="","",INDEX(Wires!$H$2:$H$1000,N26)&amp;"")</f>
        <v/>
      </c>
      <c r="J26" s="11">
        <f>IF(N26="","",IF(INDEX(Wires!$I$2:$I$1000,N26)="","",INDEX(Wires!$I$2:$I$1000,N26)))</f>
        <v/>
      </c>
      <c r="K26" s="11">
        <f>COUNTIF(Wires!$W$2:$W$1000,M26)+COUNTIF(Wires!$X$2:$X$1000,M26)</f>
        <v/>
      </c>
      <c r="L26" s="11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1">
        <f>A26&amp;":"&amp;B26&amp;IF(EXACT(B26,UPPER(B26)),"","|lc")</f>
        <v/>
      </c>
      <c r="N26" s="11">
        <f>IFERROR(MATCH(M26,Wires!$W$2:$W$1000,0),IFERROR(MATCH(M26,Wires!$X$2:$X$1000,0),""))</f>
        <v/>
      </c>
      <c r="O26" s="11">
        <f>IF(N26="","",IF(ISNUMBER(MATCH(M26,Wires!$W$2:$W$1000,0)),"from","to"))</f>
        <v/>
      </c>
    </row>
    <row r="27">
      <c r="A27" s="9" t="inlineStr">
        <is>
          <t>ACQUISITION J3</t>
        </is>
      </c>
      <c r="B27" s="9" t="inlineStr">
        <is>
          <t>8</t>
        </is>
      </c>
      <c r="C27" s="9" t="inlineStr">
        <is>
          <t>SUSP_LEFT_GROUND</t>
        </is>
      </c>
      <c r="D27" s="9" t="inlineStr">
        <is>
          <t>OUT</t>
        </is>
      </c>
      <c r="E27" s="9" t="inlineStr">
        <is>
          <t>0V</t>
        </is>
      </c>
      <c r="F27" s="11">
        <f>IF(N27="","",INDEX(Wires!$A$2:$A$1000,N27))</f>
        <v/>
      </c>
      <c r="G27" s="11">
        <f>IF(N27="","",INDEX(Wires!$C$2:$C$1000,N27))</f>
        <v/>
      </c>
      <c r="H27" s="11">
        <f>IF(N27="","",IF(O27="from",INDEX(Wires!$F$2:$F$1000,N27)&amp;":"&amp;INDEX(Wires!$G$2:$G$1000,N27),INDEX(Wires!$D$2:$D$1000,N27)&amp;":"&amp;INDEX(Wires!$E$2:$E$1000,N27)))</f>
        <v/>
      </c>
      <c r="I27" s="11">
        <f>IF(N27="","",INDEX(Wires!$H$2:$H$1000,N27)&amp;"")</f>
        <v/>
      </c>
      <c r="J27" s="11">
        <f>IF(N27="","",IF(INDEX(Wires!$I$2:$I$1000,N27)="","",INDEX(Wires!$I$2:$I$1000,N27)))</f>
        <v/>
      </c>
      <c r="K27" s="11">
        <f>COUNTIF(Wires!$W$2:$W$1000,M27)+COUNTIF(Wires!$X$2:$X$1000,M27)</f>
        <v/>
      </c>
      <c r="L27" s="11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1">
        <f>A27&amp;":"&amp;B27&amp;IF(EXACT(B27,UPPER(B27)),"","|lc")</f>
        <v/>
      </c>
      <c r="N27" s="11">
        <f>IFERROR(MATCH(M27,Wires!$W$2:$W$1000,0),IFERROR(MATCH(M27,Wires!$X$2:$X$1000,0),""))</f>
        <v/>
      </c>
      <c r="O27" s="11">
        <f>IF(N27="","",IF(ISNUMBER(MATCH(M27,Wires!$W$2:$W$1000,0)),"from","to"))</f>
        <v/>
      </c>
    </row>
    <row r="28">
      <c r="A28" s="9" t="inlineStr">
        <is>
          <t>ACQUISITION J3</t>
        </is>
      </c>
      <c r="B28" s="9" t="inlineStr">
        <is>
          <t>9</t>
        </is>
      </c>
      <c r="C28" s="9" t="inlineStr">
        <is>
          <t>TS_ON_LED_Signal</t>
        </is>
      </c>
      <c r="D28" s="9" t="inlineStr">
        <is>
          <t>OUT</t>
        </is>
      </c>
      <c r="E28" s="9" t="inlineStr">
        <is>
          <t>3.3V</t>
        </is>
      </c>
      <c r="F28" s="11">
        <f>IF(N28="","",INDEX(Wires!$A$2:$A$1000,N28))</f>
        <v/>
      </c>
      <c r="G28" s="11">
        <f>IF(N28="","",INDEX(Wires!$C$2:$C$1000,N28))</f>
        <v/>
      </c>
      <c r="H28" s="11">
        <f>IF(N28="","",IF(O28="from",INDEX(Wires!$F$2:$F$1000,N28)&amp;":"&amp;INDEX(Wires!$G$2:$G$1000,N28),INDEX(Wires!$D$2:$D$1000,N28)&amp;":"&amp;INDEX(Wires!$E$2:$E$1000,N28)))</f>
        <v/>
      </c>
      <c r="I28" s="11">
        <f>IF(N28="","",INDEX(Wires!$H$2:$H$1000,N28)&amp;"")</f>
        <v/>
      </c>
      <c r="J28" s="11">
        <f>IF(N28="","",IF(INDEX(Wires!$I$2:$I$1000,N28)="","",INDEX(Wires!$I$2:$I$1000,N28)))</f>
        <v/>
      </c>
      <c r="K28" s="11">
        <f>COUNTIF(Wires!$W$2:$W$1000,M28)+COUNTIF(Wires!$X$2:$X$1000,M28)</f>
        <v/>
      </c>
      <c r="L28" s="11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1">
        <f>A28&amp;":"&amp;B28&amp;IF(EXACT(B28,UPPER(B28)),"","|lc")</f>
        <v/>
      </c>
      <c r="N28" s="11">
        <f>IFERROR(MATCH(M28,Wires!$W$2:$W$1000,0),IFERROR(MATCH(M28,Wires!$X$2:$X$1000,0),""))</f>
        <v/>
      </c>
      <c r="O28" s="11">
        <f>IF(N28="","",IF(ISNUMBER(MATCH(M28,Wires!$W$2:$W$1000,0)),"from","to"))</f>
        <v/>
      </c>
    </row>
    <row r="29">
      <c r="A29" s="9" t="inlineStr">
        <is>
          <t>ACQUISITION J3</t>
        </is>
      </c>
      <c r="B29" s="9" t="inlineStr">
        <is>
          <t>10</t>
        </is>
      </c>
      <c r="C29" s="9" t="inlineStr">
        <is>
          <t>SUSP_Right_GROUND</t>
        </is>
      </c>
      <c r="D29" s="9" t="inlineStr">
        <is>
          <t>OUT</t>
        </is>
      </c>
      <c r="E29" s="9" t="inlineStr">
        <is>
          <t>0V</t>
        </is>
      </c>
      <c r="F29" s="11">
        <f>IF(N29="","",INDEX(Wires!$A$2:$A$1000,N29))</f>
        <v/>
      </c>
      <c r="G29" s="11">
        <f>IF(N29="","",INDEX(Wires!$C$2:$C$1000,N29))</f>
        <v/>
      </c>
      <c r="H29" s="11">
        <f>IF(N29="","",IF(O29="from",INDEX(Wires!$F$2:$F$1000,N29)&amp;":"&amp;INDEX(Wires!$G$2:$G$1000,N29),INDEX(Wires!$D$2:$D$1000,N29)&amp;":"&amp;INDEX(Wires!$E$2:$E$1000,N29)))</f>
        <v/>
      </c>
      <c r="I29" s="11">
        <f>IF(N29="","",INDEX(Wires!$H$2:$H$1000,N29)&amp;"")</f>
        <v/>
      </c>
      <c r="J29" s="11">
        <f>IF(N29="","",IF(INDEX(Wires!$I$2:$I$1000,N29)="","",INDEX(Wires!$I$2:$I$1000,N29)))</f>
        <v/>
      </c>
      <c r="K29" s="11">
        <f>COUNTIF(Wires!$W$2:$W$1000,M29)+COUNTIF(Wires!$X$2:$X$1000,M29)</f>
        <v/>
      </c>
      <c r="L29" s="11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1">
        <f>A29&amp;":"&amp;B29&amp;IF(EXACT(B29,UPPER(B29)),"","|lc")</f>
        <v/>
      </c>
      <c r="N29" s="11">
        <f>IFERROR(MATCH(M29,Wires!$W$2:$W$1000,0),IFERROR(MATCH(M29,Wires!$X$2:$X$1000,0),""))</f>
        <v/>
      </c>
      <c r="O29" s="11">
        <f>IF(N29="","",IF(ISNUMBER(MATCH(M29,Wires!$W$2:$W$1000,0)),"from","to"))</f>
        <v/>
      </c>
    </row>
    <row r="30">
      <c r="A30" s="9" t="inlineStr">
        <is>
          <t>ACQUISITION J3</t>
        </is>
      </c>
      <c r="B30" s="9" t="inlineStr">
        <is>
          <t>11</t>
        </is>
      </c>
      <c r="C30" s="9" t="inlineStr">
        <is>
          <t>Na</t>
        </is>
      </c>
      <c r="D30" s="9" t="n"/>
      <c r="E30" s="9" t="n"/>
      <c r="F30" s="11">
        <f>IF(N30="","",INDEX(Wires!$A$2:$A$1000,N30))</f>
        <v/>
      </c>
      <c r="G30" s="11">
        <f>IF(N30="","",INDEX(Wires!$C$2:$C$1000,N30))</f>
        <v/>
      </c>
      <c r="H30" s="11">
        <f>IF(N30="","",IF(O30="from",INDEX(Wires!$F$2:$F$1000,N30)&amp;":"&amp;INDEX(Wires!$G$2:$G$1000,N30),INDEX(Wires!$D$2:$D$1000,N30)&amp;":"&amp;INDEX(Wires!$E$2:$E$1000,N30)))</f>
        <v/>
      </c>
      <c r="I30" s="11">
        <f>IF(N30="","",INDEX(Wires!$H$2:$H$1000,N30)&amp;"")</f>
        <v/>
      </c>
      <c r="J30" s="11">
        <f>IF(N30="","",IF(INDEX(Wires!$I$2:$I$1000,N30)="","",INDEX(Wires!$I$2:$I$1000,N30)))</f>
        <v/>
      </c>
      <c r="K30" s="11">
        <f>COUNTIF(Wires!$W$2:$W$1000,M30)+COUNTIF(Wires!$X$2:$X$1000,M30)</f>
        <v/>
      </c>
      <c r="L30" s="11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1">
        <f>A30&amp;":"&amp;B30&amp;IF(EXACT(B30,UPPER(B30)),"","|lc")</f>
        <v/>
      </c>
      <c r="N30" s="11">
        <f>IFERROR(MATCH(M30,Wires!$W$2:$W$1000,0),IFERROR(MATCH(M30,Wires!$X$2:$X$1000,0),""))</f>
        <v/>
      </c>
      <c r="O30" s="11">
        <f>IF(N30="","",IF(ISNUMBER(MATCH(M30,Wires!$W$2:$W$1000,0)),"from","to"))</f>
        <v/>
      </c>
    </row>
    <row r="31">
      <c r="A31" s="9" t="inlineStr">
        <is>
          <t>ACQUISITION J3</t>
        </is>
      </c>
      <c r="B31" s="9" t="inlineStr">
        <is>
          <t>12</t>
        </is>
      </c>
      <c r="C31" s="9" t="inlineStr">
        <is>
          <t>LEDS_GND</t>
        </is>
      </c>
      <c r="D31" s="9" t="inlineStr">
        <is>
          <t>IN</t>
        </is>
      </c>
      <c r="E31" s="9" t="inlineStr">
        <is>
          <t>0V</t>
        </is>
      </c>
      <c r="F31" s="11">
        <f>IF(N31="","",INDEX(Wires!$A$2:$A$1000,N31))</f>
        <v/>
      </c>
      <c r="G31" s="11">
        <f>IF(N31="","",INDEX(Wires!$C$2:$C$1000,N31))</f>
        <v/>
      </c>
      <c r="H31" s="11">
        <f>IF(N31="","",IF(O31="from",INDEX(Wires!$F$2:$F$1000,N31)&amp;":"&amp;INDEX(Wires!$G$2:$G$1000,N31),INDEX(Wires!$D$2:$D$1000,N31)&amp;":"&amp;INDEX(Wires!$E$2:$E$1000,N31)))</f>
        <v/>
      </c>
      <c r="I31" s="11">
        <f>IF(N31="","",INDEX(Wires!$H$2:$H$1000,N31)&amp;"")</f>
        <v/>
      </c>
      <c r="J31" s="11">
        <f>IF(N31="","",IF(INDEX(Wires!$I$2:$I$1000,N31)="","",INDEX(Wires!$I$2:$I$1000,N31)))</f>
        <v/>
      </c>
      <c r="K31" s="11">
        <f>COUNTIF(Wires!$W$2:$W$1000,M31)+COUNTIF(Wires!$X$2:$X$1000,M31)</f>
        <v/>
      </c>
      <c r="L31" s="11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1">
        <f>A31&amp;":"&amp;B31&amp;IF(EXACT(B31,UPPER(B31)),"","|lc")</f>
        <v/>
      </c>
      <c r="N31" s="11">
        <f>IFERROR(MATCH(M31,Wires!$W$2:$W$1000,0),IFERROR(MATCH(M31,Wires!$X$2:$X$1000,0),""))</f>
        <v/>
      </c>
      <c r="O31" s="11">
        <f>IF(N31="","",IF(ISNUMBER(MATCH(M31,Wires!$W$2:$W$1000,0)),"from","to"))</f>
        <v/>
      </c>
    </row>
    <row r="32">
      <c r="A32" s="9" t="inlineStr">
        <is>
          <t>RASPBERRY J1</t>
        </is>
      </c>
      <c r="B32" s="9" t="inlineStr">
        <is>
          <t>1</t>
        </is>
      </c>
      <c r="C32" s="9" t="inlineStr">
        <is>
          <t>RaspBerry Supply</t>
        </is>
      </c>
      <c r="D32" s="9" t="inlineStr">
        <is>
          <t>24V</t>
        </is>
      </c>
      <c r="E32" s="9" t="n"/>
      <c r="F32" s="11">
        <f>IF(N32="","",INDEX(Wires!$A$2:$A$1000,N32))</f>
        <v/>
      </c>
      <c r="G32" s="11">
        <f>IF(N32="","",INDEX(Wires!$C$2:$C$1000,N32))</f>
        <v/>
      </c>
      <c r="H32" s="11">
        <f>IF(N32="","",IF(O32="from",INDEX(Wires!$F$2:$F$1000,N32)&amp;":"&amp;INDEX(Wires!$G$2:$G$1000,N32),INDEX(Wires!$D$2:$D$1000,N32)&amp;":"&amp;INDEX(Wires!$E$2:$E$1000,N32)))</f>
        <v/>
      </c>
      <c r="I32" s="11">
        <f>IF(N32="","",INDEX(Wires!$H$2:$H$1000,N32)&amp;"")</f>
        <v/>
      </c>
      <c r="J32" s="11">
        <f>IF(N32="","",IF(INDEX(Wires!$I$2:$I$1000,N32)="","",INDEX(Wires!$I$2:$I$1000,N32)))</f>
        <v/>
      </c>
      <c r="K32" s="11">
        <f>COUNTIF(Wires!$W$2:$W$1000,M32)+COUNTIF(Wires!$X$2:$X$1000,M32)</f>
        <v/>
      </c>
      <c r="L32" s="11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1">
        <f>A32&amp;":"&amp;B32&amp;IF(EXACT(B32,UPPER(B32)),"","|lc")</f>
        <v/>
      </c>
      <c r="N32" s="11">
        <f>IFERROR(MATCH(M32,Wires!$W$2:$W$1000,0),IFERROR(MATCH(M32,Wires!$X$2:$X$1000,0),""))</f>
        <v/>
      </c>
      <c r="O32" s="11">
        <f>IF(N32="","",IF(ISNUMBER(MATCH(M32,Wires!$W$2:$W$1000,0)),"from","to"))</f>
        <v/>
      </c>
    </row>
    <row r="33">
      <c r="A33" s="9" t="inlineStr">
        <is>
          <t>RASPBERRY J1</t>
        </is>
      </c>
      <c r="B33" s="9" t="inlineStr">
        <is>
          <t>2</t>
        </is>
      </c>
      <c r="C33" s="9" t="inlineStr">
        <is>
          <t>RaspBerry GND</t>
        </is>
      </c>
      <c r="D33" s="9" t="inlineStr">
        <is>
          <t>0V</t>
        </is>
      </c>
      <c r="E33" s="9" t="n"/>
      <c r="F33" s="11">
        <f>IF(N33="","",INDEX(Wires!$A$2:$A$1000,N33))</f>
        <v/>
      </c>
      <c r="G33" s="11">
        <f>IF(N33="","",INDEX(Wires!$C$2:$C$1000,N33))</f>
        <v/>
      </c>
      <c r="H33" s="11">
        <f>IF(N33="","",IF(O33="from",INDEX(Wires!$F$2:$F$1000,N33)&amp;":"&amp;INDEX(Wires!$G$2:$G$1000,N33),INDEX(Wires!$D$2:$D$1000,N33)&amp;":"&amp;INDEX(Wires!$E$2:$E$1000,N33)))</f>
        <v/>
      </c>
      <c r="I33" s="11">
        <f>IF(N33="","",INDEX(Wires!$H$2:$H$1000,N33)&amp;"")</f>
        <v/>
      </c>
      <c r="J33" s="11">
        <f>IF(N33="","",IF(INDEX(Wires!$I$2:$I$1000,N33)="","",INDEX(Wires!$I$2:$I$1000,N33)))</f>
        <v/>
      </c>
      <c r="K33" s="11">
        <f>COUNTIF(Wires!$W$2:$W$1000,M33)+COUNTIF(Wires!$X$2:$X$1000,M33)</f>
        <v/>
      </c>
      <c r="L33" s="11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1">
        <f>A33&amp;":"&amp;B33&amp;IF(EXACT(B33,UPPER(B33)),"","|lc")</f>
        <v/>
      </c>
      <c r="N33" s="11">
        <f>IFERROR(MATCH(M33,Wires!$W$2:$W$1000,0),IFERROR(MATCH(M33,Wires!$X$2:$X$1000,0),""))</f>
        <v/>
      </c>
      <c r="O33" s="11">
        <f>IF(N33="","",IF(ISNUMBER(MATCH(M33,Wires!$W$2:$W$1000,0)),"from","to"))</f>
        <v/>
      </c>
    </row>
    <row r="34">
      <c r="A34" s="9" t="inlineStr">
        <is>
          <t>RASPBERRY J2</t>
        </is>
      </c>
      <c r="B34" s="9" t="inlineStr">
        <is>
          <t>1</t>
        </is>
      </c>
      <c r="C34" s="9" t="inlineStr">
        <is>
          <t>Na</t>
        </is>
      </c>
      <c r="D34" s="9" t="n"/>
      <c r="E34" s="9" t="n"/>
      <c r="F34" s="11">
        <f>IF(N34="","",INDEX(Wires!$A$2:$A$1000,N34))</f>
        <v/>
      </c>
      <c r="G34" s="11">
        <f>IF(N34="","",INDEX(Wires!$C$2:$C$1000,N34))</f>
        <v/>
      </c>
      <c r="H34" s="11">
        <f>IF(N34="","",IF(O34="from",INDEX(Wires!$F$2:$F$1000,N34)&amp;":"&amp;INDEX(Wires!$G$2:$G$1000,N34),INDEX(Wires!$D$2:$D$1000,N34)&amp;":"&amp;INDEX(Wires!$E$2:$E$1000,N34)))</f>
        <v/>
      </c>
      <c r="I34" s="11">
        <f>IF(N34="","",INDEX(Wires!$H$2:$H$1000,N34)&amp;"")</f>
        <v/>
      </c>
      <c r="J34" s="11">
        <f>IF(N34="","",IF(INDEX(Wires!$I$2:$I$1000,N34)="","",INDEX(Wires!$I$2:$I$1000,N34)))</f>
        <v/>
      </c>
      <c r="K34" s="11">
        <f>COUNTIF(Wires!$W$2:$W$1000,M34)+COUNTIF(Wires!$X$2:$X$1000,M34)</f>
        <v/>
      </c>
      <c r="L34" s="11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1">
        <f>A34&amp;":"&amp;B34&amp;IF(EXACT(B34,UPPER(B34)),"","|lc")</f>
        <v/>
      </c>
      <c r="N34" s="11">
        <f>IFERROR(MATCH(M34,Wires!$W$2:$W$1000,0),IFERROR(MATCH(M34,Wires!$X$2:$X$1000,0),""))</f>
        <v/>
      </c>
      <c r="O34" s="11">
        <f>IF(N34="","",IF(ISNUMBER(MATCH(M34,Wires!$W$2:$W$1000,0)),"from","to"))</f>
        <v/>
      </c>
    </row>
    <row r="35">
      <c r="A35" s="9" t="inlineStr">
        <is>
          <t>RASPBERRY J2</t>
        </is>
      </c>
      <c r="B35" s="9" t="inlineStr">
        <is>
          <t>2</t>
        </is>
      </c>
      <c r="C35" s="9" t="inlineStr">
        <is>
          <t>Pwt_CAN_L</t>
        </is>
      </c>
      <c r="D35" s="9" t="inlineStr">
        <is>
          <t>BIDIR</t>
        </is>
      </c>
      <c r="E35" s="9" t="inlineStr">
        <is>
          <t>5V</t>
        </is>
      </c>
      <c r="F35" s="11">
        <f>IF(N35="","",INDEX(Wires!$A$2:$A$1000,N35))</f>
        <v/>
      </c>
      <c r="G35" s="11">
        <f>IF(N35="","",INDEX(Wires!$C$2:$C$1000,N35))</f>
        <v/>
      </c>
      <c r="H35" s="11">
        <f>IF(N35="","",IF(O35="from",INDEX(Wires!$F$2:$F$1000,N35)&amp;":"&amp;INDEX(Wires!$G$2:$G$1000,N35),INDEX(Wires!$D$2:$D$1000,N35)&amp;":"&amp;INDEX(Wires!$E$2:$E$1000,N35)))</f>
        <v/>
      </c>
      <c r="I35" s="11">
        <f>IF(N35="","",INDEX(Wires!$H$2:$H$1000,N35)&amp;"")</f>
        <v/>
      </c>
      <c r="J35" s="11">
        <f>IF(N35="","",IF(INDEX(Wires!$I$2:$I$1000,N35)="","",INDEX(Wires!$I$2:$I$1000,N35)))</f>
        <v/>
      </c>
      <c r="K35" s="11">
        <f>COUNTIF(Wires!$W$2:$W$1000,M35)+COUNTIF(Wires!$X$2:$X$1000,M35)</f>
        <v/>
      </c>
      <c r="L35" s="11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1">
        <f>A35&amp;":"&amp;B35&amp;IF(EXACT(B35,UPPER(B35)),"","|lc")</f>
        <v/>
      </c>
      <c r="N35" s="11">
        <f>IFERROR(MATCH(M35,Wires!$W$2:$W$1000,0),IFERROR(MATCH(M35,Wires!$X$2:$X$1000,0),""))</f>
        <v/>
      </c>
      <c r="O35" s="11">
        <f>IF(N35="","",IF(ISNUMBER(MATCH(M35,Wires!$W$2:$W$1000,0)),"from","to"))</f>
        <v/>
      </c>
    </row>
    <row r="36">
      <c r="A36" s="9" t="inlineStr">
        <is>
          <t>RASPBERRY J2</t>
        </is>
      </c>
      <c r="B36" s="9" t="inlineStr">
        <is>
          <t>3</t>
        </is>
      </c>
      <c r="C36" s="9" t="inlineStr">
        <is>
          <t>Pwt_CAN_H</t>
        </is>
      </c>
      <c r="D36" s="9" t="inlineStr">
        <is>
          <t>BIDIR</t>
        </is>
      </c>
      <c r="E36" s="9" t="inlineStr">
        <is>
          <t>5V</t>
        </is>
      </c>
      <c r="F36" s="11">
        <f>IF(N36="","",INDEX(Wires!$A$2:$A$1000,N36))</f>
        <v/>
      </c>
      <c r="G36" s="11">
        <f>IF(N36="","",INDEX(Wires!$C$2:$C$1000,N36))</f>
        <v/>
      </c>
      <c r="H36" s="11">
        <f>IF(N36="","",IF(O36="from",INDEX(Wires!$F$2:$F$1000,N36)&amp;":"&amp;INDEX(Wires!$G$2:$G$1000,N36),INDEX(Wires!$D$2:$D$1000,N36)&amp;":"&amp;INDEX(Wires!$E$2:$E$1000,N36)))</f>
        <v/>
      </c>
      <c r="I36" s="11">
        <f>IF(N36="","",INDEX(Wires!$H$2:$H$1000,N36)&amp;"")</f>
        <v/>
      </c>
      <c r="J36" s="11">
        <f>IF(N36="","",IF(INDEX(Wires!$I$2:$I$1000,N36)="","",INDEX(Wires!$I$2:$I$1000,N36)))</f>
        <v/>
      </c>
      <c r="K36" s="11">
        <f>COUNTIF(Wires!$W$2:$W$1000,M36)+COUNTIF(Wires!$X$2:$X$1000,M36)</f>
        <v/>
      </c>
      <c r="L36" s="11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1">
        <f>A36&amp;":"&amp;B36&amp;IF(EXACT(B36,UPPER(B36)),"","|lc")</f>
        <v/>
      </c>
      <c r="N36" s="11">
        <f>IFERROR(MATCH(M36,Wires!$W$2:$W$1000,0),IFERROR(MATCH(M36,Wires!$X$2:$X$1000,0),""))</f>
        <v/>
      </c>
      <c r="O36" s="11">
        <f>IF(N36="","",IF(ISNUMBER(MATCH(M36,Wires!$W$2:$W$1000,0)),"from","to"))</f>
        <v/>
      </c>
    </row>
    <row r="37">
      <c r="A37" s="9" t="inlineStr">
        <is>
          <t>RASPBERRY J3</t>
        </is>
      </c>
      <c r="B37" s="9" t="inlineStr">
        <is>
          <t>1</t>
        </is>
      </c>
      <c r="C37" s="9" t="inlineStr">
        <is>
          <t>Na</t>
        </is>
      </c>
      <c r="D37" s="9" t="n"/>
      <c r="E37" s="9" t="n"/>
      <c r="F37" s="11">
        <f>IF(N37="","",INDEX(Wires!$A$2:$A$1000,N37))</f>
        <v/>
      </c>
      <c r="G37" s="11">
        <f>IF(N37="","",INDEX(Wires!$C$2:$C$1000,N37))</f>
        <v/>
      </c>
      <c r="H37" s="11">
        <f>IF(N37="","",IF(O37="from",INDEX(Wires!$F$2:$F$1000,N37)&amp;":"&amp;INDEX(Wires!$G$2:$G$1000,N37),INDEX(Wires!$D$2:$D$1000,N37)&amp;":"&amp;INDEX(Wires!$E$2:$E$1000,N37)))</f>
        <v/>
      </c>
      <c r="I37" s="11">
        <f>IF(N37="","",INDEX(Wires!$H$2:$H$1000,N37)&amp;"")</f>
        <v/>
      </c>
      <c r="J37" s="11">
        <f>IF(N37="","",IF(INDEX(Wires!$I$2:$I$1000,N37)="","",INDEX(Wires!$I$2:$I$1000,N37)))</f>
        <v/>
      </c>
      <c r="K37" s="11">
        <f>COUNTIF(Wires!$W$2:$W$1000,M37)+COUNTIF(Wires!$X$2:$X$1000,M37)</f>
        <v/>
      </c>
      <c r="L37" s="11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1">
        <f>A37&amp;":"&amp;B37&amp;IF(EXACT(B37,UPPER(B37)),"","|lc")</f>
        <v/>
      </c>
      <c r="N37" s="11">
        <f>IFERROR(MATCH(M37,Wires!$W$2:$W$1000,0),IFERROR(MATCH(M37,Wires!$X$2:$X$1000,0),""))</f>
        <v/>
      </c>
      <c r="O37" s="11">
        <f>IF(N37="","",IF(ISNUMBER(MATCH(M37,Wires!$W$2:$W$1000,0)),"from","to"))</f>
        <v/>
      </c>
    </row>
    <row r="38">
      <c r="A38" s="9" t="inlineStr">
        <is>
          <t>RASPBERRY J3</t>
        </is>
      </c>
      <c r="B38" s="9" t="inlineStr">
        <is>
          <t>2</t>
        </is>
      </c>
      <c r="C38" s="9" t="inlineStr">
        <is>
          <t>Data_CAN_L</t>
        </is>
      </c>
      <c r="D38" s="9" t="inlineStr">
        <is>
          <t>BIDIR</t>
        </is>
      </c>
      <c r="E38" s="9" t="inlineStr">
        <is>
          <t>5V</t>
        </is>
      </c>
      <c r="F38" s="11">
        <f>IF(N38="","",INDEX(Wires!$A$2:$A$1000,N38))</f>
        <v/>
      </c>
      <c r="G38" s="11">
        <f>IF(N38="","",INDEX(Wires!$C$2:$C$1000,N38))</f>
        <v/>
      </c>
      <c r="H38" s="11">
        <f>IF(N38="","",IF(O38="from",INDEX(Wires!$F$2:$F$1000,N38)&amp;":"&amp;INDEX(Wires!$G$2:$G$1000,N38),INDEX(Wires!$D$2:$D$1000,N38)&amp;":"&amp;INDEX(Wires!$E$2:$E$1000,N38)))</f>
        <v/>
      </c>
      <c r="I38" s="11">
        <f>IF(N38="","",INDEX(Wires!$H$2:$H$1000,N38)&amp;"")</f>
        <v/>
      </c>
      <c r="J38" s="11">
        <f>IF(N38="","",IF(INDEX(Wires!$I$2:$I$1000,N38)="","",INDEX(Wires!$I$2:$I$1000,N38)))</f>
        <v/>
      </c>
      <c r="K38" s="11">
        <f>COUNTIF(Wires!$W$2:$W$1000,M38)+COUNTIF(Wires!$X$2:$X$1000,M38)</f>
        <v/>
      </c>
      <c r="L38" s="11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1">
        <f>A38&amp;":"&amp;B38&amp;IF(EXACT(B38,UPPER(B38)),"","|lc")</f>
        <v/>
      </c>
      <c r="N38" s="11">
        <f>IFERROR(MATCH(M38,Wires!$W$2:$W$1000,0),IFERROR(MATCH(M38,Wires!$X$2:$X$1000,0),""))</f>
        <v/>
      </c>
      <c r="O38" s="11">
        <f>IF(N38="","",IF(ISNUMBER(MATCH(M38,Wires!$W$2:$W$1000,0)),"from","to"))</f>
        <v/>
      </c>
    </row>
    <row r="39">
      <c r="A39" s="9" t="inlineStr">
        <is>
          <t>RASPBERRY J3</t>
        </is>
      </c>
      <c r="B39" s="9" t="inlineStr">
        <is>
          <t>3</t>
        </is>
      </c>
      <c r="C39" s="9" t="inlineStr">
        <is>
          <t>Data_CAN_H</t>
        </is>
      </c>
      <c r="D39" s="9" t="inlineStr">
        <is>
          <t>BIDIR</t>
        </is>
      </c>
      <c r="E39" s="9" t="inlineStr">
        <is>
          <t>5V</t>
        </is>
      </c>
      <c r="F39" s="11">
        <f>IF(N39="","",INDEX(Wires!$A$2:$A$1000,N39))</f>
        <v/>
      </c>
      <c r="G39" s="11">
        <f>IF(N39="","",INDEX(Wires!$C$2:$C$1000,N39))</f>
        <v/>
      </c>
      <c r="H39" s="11">
        <f>IF(N39="","",IF(O39="from",INDEX(Wires!$F$2:$F$1000,N39)&amp;":"&amp;INDEX(Wires!$G$2:$G$1000,N39),INDEX(Wires!$D$2:$D$1000,N39)&amp;":"&amp;INDEX(Wires!$E$2:$E$1000,N39)))</f>
        <v/>
      </c>
      <c r="I39" s="11">
        <f>IF(N39="","",INDEX(Wires!$H$2:$H$1000,N39)&amp;"")</f>
        <v/>
      </c>
      <c r="J39" s="11">
        <f>IF(N39="","",IF(INDEX(Wires!$I$2:$I$1000,N39)="","",INDEX(Wires!$I$2:$I$1000,N39)))</f>
        <v/>
      </c>
      <c r="K39" s="11">
        <f>COUNTIF(Wires!$W$2:$W$1000,M39)+COUNTIF(Wires!$X$2:$X$1000,M39)</f>
        <v/>
      </c>
      <c r="L39" s="11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1">
        <f>A39&amp;":"&amp;B39&amp;IF(EXACT(B39,UPPER(B39)),"","|lc")</f>
        <v/>
      </c>
      <c r="N39" s="11">
        <f>IFERROR(MATCH(M39,Wires!$W$2:$W$1000,0),IFERROR(MATCH(M39,Wires!$X$2:$X$1000,0),""))</f>
        <v/>
      </c>
      <c r="O39" s="11">
        <f>IF(N39="","",IF(ISNUMBER(MATCH(M39,Wires!$W$2:$W$1000,0)),"from","to"))</f>
        <v/>
      </c>
    </row>
    <row r="40">
      <c r="A40" s="9" t="inlineStr">
        <is>
          <t>RASPBERRY J4</t>
        </is>
      </c>
      <c r="B40" s="9" t="inlineStr">
        <is>
          <t>Power_LCD</t>
        </is>
      </c>
      <c r="C40" s="9" t="inlineStr">
        <is>
          <t>Out</t>
        </is>
      </c>
      <c r="D40" s="9" t="n"/>
      <c r="E40" s="9" t="n"/>
      <c r="F40" s="11">
        <f>IF(N40="","",INDEX(Wires!$A$2:$A$1000,N40))</f>
        <v/>
      </c>
      <c r="G40" s="11">
        <f>IF(N40="","",INDEX(Wires!$C$2:$C$1000,N40))</f>
        <v/>
      </c>
      <c r="H40" s="11">
        <f>IF(N40="","",IF(O40="from",INDEX(Wires!$F$2:$F$1000,N40)&amp;":"&amp;INDEX(Wires!$G$2:$G$1000,N40),INDEX(Wires!$D$2:$D$1000,N40)&amp;":"&amp;INDEX(Wires!$E$2:$E$1000,N40)))</f>
        <v/>
      </c>
      <c r="I40" s="11">
        <f>IF(N40="","",INDEX(Wires!$H$2:$H$1000,N40)&amp;"")</f>
        <v/>
      </c>
      <c r="J40" s="11">
        <f>IF(N40="","",IF(INDEX(Wires!$I$2:$I$1000,N40)="","",INDEX(Wires!$I$2:$I$1000,N40)))</f>
        <v/>
      </c>
      <c r="K40" s="11">
        <f>COUNTIF(Wires!$W$2:$W$1000,M40)+COUNTIF(Wires!$X$2:$X$1000,M40)</f>
        <v/>
      </c>
      <c r="L40" s="11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1">
        <f>A40&amp;":"&amp;B40&amp;IF(EXACT(B40,UPPER(B40)),"","|lc")</f>
        <v/>
      </c>
      <c r="N40" s="11">
        <f>IFERROR(MATCH(M40,Wires!$W$2:$W$1000,0),IFERROR(MATCH(M40,Wires!$X$2:$X$1000,0),""))</f>
        <v/>
      </c>
      <c r="O40" s="11">
        <f>IF(N40="","",IF(ISNUMBER(MATCH(M40,Wires!$W$2:$W$1000,0)),"from","to"))</f>
        <v/>
      </c>
    </row>
    <row r="41">
      <c r="A41" s="9" t="inlineStr">
        <is>
          <t>RASPBERRY J5</t>
        </is>
      </c>
      <c r="B41" s="9" t="inlineStr">
        <is>
          <t>HDMI</t>
        </is>
      </c>
      <c r="C41" s="9" t="inlineStr">
        <is>
          <t>HDMI</t>
        </is>
      </c>
      <c r="D41" s="9" t="n"/>
      <c r="E41" s="9" t="n"/>
      <c r="F41" s="11">
        <f>IF(N41="","",INDEX(Wires!$A$2:$A$1000,N41))</f>
        <v/>
      </c>
      <c r="G41" s="11">
        <f>IF(N41="","",INDEX(Wires!$C$2:$C$1000,N41))</f>
        <v/>
      </c>
      <c r="H41" s="11">
        <f>IF(N41="","",IF(O41="from",INDEX(Wires!$F$2:$F$1000,N41)&amp;":"&amp;INDEX(Wires!$G$2:$G$1000,N41),INDEX(Wires!$D$2:$D$1000,N41)&amp;":"&amp;INDEX(Wires!$E$2:$E$1000,N41)))</f>
        <v/>
      </c>
      <c r="I41" s="11">
        <f>IF(N41="","",INDEX(Wires!$H$2:$H$1000,N41)&amp;"")</f>
        <v/>
      </c>
      <c r="J41" s="11">
        <f>IF(N41="","",IF(INDEX(Wires!$I$2:$I$1000,N41)="","",INDEX(Wires!$I$2:$I$1000,N41)))</f>
        <v/>
      </c>
      <c r="K41" s="11">
        <f>COUNTIF(Wires!$W$2:$W$1000,M41)+COUNTIF(Wires!$X$2:$X$1000,M41)</f>
        <v/>
      </c>
      <c r="L41" s="11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1">
        <f>A41&amp;":"&amp;B41&amp;IF(EXACT(B41,UPPER(B41)),"","|lc")</f>
        <v/>
      </c>
      <c r="N41" s="11">
        <f>IFERROR(MATCH(M41,Wires!$W$2:$W$1000,0),IFERROR(MATCH(M41,Wires!$X$2:$X$1000,0),""))</f>
        <v/>
      </c>
      <c r="O41" s="11">
        <f>IF(N41="","",IF(ISNUMBER(MATCH(M41,Wires!$W$2:$W$1000,0)),"from","to"))</f>
        <v/>
      </c>
    </row>
    <row r="42">
      <c r="A42" s="9" t="inlineStr">
        <is>
          <t>RASPBERRY J6</t>
        </is>
      </c>
      <c r="B42" s="9" t="inlineStr">
        <is>
          <t>1 - 3,3V</t>
        </is>
      </c>
      <c r="C42" s="9" t="n"/>
      <c r="D42" s="9" t="n"/>
      <c r="E42" s="9" t="n"/>
      <c r="F42" s="11">
        <f>IF(N42="","",INDEX(Wires!$A$2:$A$1000,N42))</f>
        <v/>
      </c>
      <c r="G42" s="11">
        <f>IF(N42="","",INDEX(Wires!$C$2:$C$1000,N42))</f>
        <v/>
      </c>
      <c r="H42" s="11">
        <f>IF(N42="","",IF(O42="from",INDEX(Wires!$F$2:$F$1000,N42)&amp;":"&amp;INDEX(Wires!$G$2:$G$1000,N42),INDEX(Wires!$D$2:$D$1000,N42)&amp;":"&amp;INDEX(Wires!$E$2:$E$1000,N42)))</f>
        <v/>
      </c>
      <c r="I42" s="11">
        <f>IF(N42="","",INDEX(Wires!$H$2:$H$1000,N42)&amp;"")</f>
        <v/>
      </c>
      <c r="J42" s="11">
        <f>IF(N42="","",IF(INDEX(Wires!$I$2:$I$1000,N42)="","",INDEX(Wires!$I$2:$I$1000,N42)))</f>
        <v/>
      </c>
      <c r="K42" s="11">
        <f>COUNTIF(Wires!$W$2:$W$1000,M42)+COUNTIF(Wires!$X$2:$X$1000,M42)</f>
        <v/>
      </c>
      <c r="L42" s="11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1">
        <f>A42&amp;":"&amp;B42&amp;IF(EXACT(B42,UPPER(B42)),"","|lc")</f>
        <v/>
      </c>
      <c r="N42" s="11">
        <f>IFERROR(MATCH(M42,Wires!$W$2:$W$1000,0),IFERROR(MATCH(M42,Wires!$X$2:$X$1000,0),""))</f>
        <v/>
      </c>
      <c r="O42" s="11">
        <f>IF(N42="","",IF(ISNUMBER(MATCH(M42,Wires!$W$2:$W$1000,0)),"from","to"))</f>
        <v/>
      </c>
    </row>
    <row r="43">
      <c r="A43" s="9" t="inlineStr">
        <is>
          <t>RASPBERRY J6</t>
        </is>
      </c>
      <c r="B43" s="9" t="inlineStr">
        <is>
          <t>2 - 5V</t>
        </is>
      </c>
      <c r="C43" s="9" t="inlineStr">
        <is>
          <t>Encoder A Supply</t>
        </is>
      </c>
      <c r="D43" s="9" t="n"/>
      <c r="E43" s="9" t="inlineStr">
        <is>
          <t>5V</t>
        </is>
      </c>
      <c r="F43" s="11">
        <f>IF(N43="","",INDEX(Wires!$A$2:$A$1000,N43))</f>
        <v/>
      </c>
      <c r="G43" s="11">
        <f>IF(N43="","",INDEX(Wires!$C$2:$C$1000,N43))</f>
        <v/>
      </c>
      <c r="H43" s="11">
        <f>IF(N43="","",IF(O43="from",INDEX(Wires!$F$2:$F$1000,N43)&amp;":"&amp;INDEX(Wires!$G$2:$G$1000,N43),INDEX(Wires!$D$2:$D$1000,N43)&amp;":"&amp;INDEX(Wires!$E$2:$E$1000,N43)))</f>
        <v/>
      </c>
      <c r="I43" s="11">
        <f>IF(N43="","",INDEX(Wires!$H$2:$H$1000,N43)&amp;"")</f>
        <v/>
      </c>
      <c r="J43" s="11">
        <f>IF(N43="","",IF(INDEX(Wires!$I$2:$I$1000,N43)="","",INDEX(Wires!$I$2:$I$1000,N43)))</f>
        <v/>
      </c>
      <c r="K43" s="11">
        <f>COUNTIF(Wires!$W$2:$W$1000,M43)+COUNTIF(Wires!$X$2:$X$1000,M43)</f>
        <v/>
      </c>
      <c r="L43" s="11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1">
        <f>A43&amp;":"&amp;B43&amp;IF(EXACT(B43,UPPER(B43)),"","|lc")</f>
        <v/>
      </c>
      <c r="N43" s="11">
        <f>IFERROR(MATCH(M43,Wires!$W$2:$W$1000,0),IFERROR(MATCH(M43,Wires!$X$2:$X$1000,0),""))</f>
        <v/>
      </c>
      <c r="O43" s="11">
        <f>IF(N43="","",IF(ISNUMBER(MATCH(M43,Wires!$W$2:$W$1000,0)),"from","to"))</f>
        <v/>
      </c>
    </row>
    <row r="44">
      <c r="A44" s="9" t="inlineStr">
        <is>
          <t>RASPBERRY J6</t>
        </is>
      </c>
      <c r="B44" s="9" t="inlineStr">
        <is>
          <t>3 -</t>
        </is>
      </c>
      <c r="C44" s="9" t="inlineStr">
        <is>
          <t>Na</t>
        </is>
      </c>
      <c r="D44" s="9" t="n"/>
      <c r="E44" s="9" t="n"/>
      <c r="F44" s="11">
        <f>IF(N44="","",INDEX(Wires!$A$2:$A$1000,N44))</f>
        <v/>
      </c>
      <c r="G44" s="11">
        <f>IF(N44="","",INDEX(Wires!$C$2:$C$1000,N44))</f>
        <v/>
      </c>
      <c r="H44" s="11">
        <f>IF(N44="","",IF(O44="from",INDEX(Wires!$F$2:$F$1000,N44)&amp;":"&amp;INDEX(Wires!$G$2:$G$1000,N44),INDEX(Wires!$D$2:$D$1000,N44)&amp;":"&amp;INDEX(Wires!$E$2:$E$1000,N44)))</f>
        <v/>
      </c>
      <c r="I44" s="11">
        <f>IF(N44="","",INDEX(Wires!$H$2:$H$1000,N44)&amp;"")</f>
        <v/>
      </c>
      <c r="J44" s="11">
        <f>IF(N44="","",IF(INDEX(Wires!$I$2:$I$1000,N44)="","",INDEX(Wires!$I$2:$I$1000,N44)))</f>
        <v/>
      </c>
      <c r="K44" s="11">
        <f>COUNTIF(Wires!$W$2:$W$1000,M44)+COUNTIF(Wires!$X$2:$X$1000,M44)</f>
        <v/>
      </c>
      <c r="L44" s="11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1">
        <f>A44&amp;":"&amp;B44&amp;IF(EXACT(B44,UPPER(B44)),"","|lc")</f>
        <v/>
      </c>
      <c r="N44" s="11">
        <f>IFERROR(MATCH(M44,Wires!$W$2:$W$1000,0),IFERROR(MATCH(M44,Wires!$X$2:$X$1000,0),""))</f>
        <v/>
      </c>
      <c r="O44" s="11">
        <f>IF(N44="","",IF(ISNUMBER(MATCH(M44,Wires!$W$2:$W$1000,0)),"from","to"))</f>
        <v/>
      </c>
    </row>
    <row r="45">
      <c r="A45" s="9" t="inlineStr">
        <is>
          <t>RASPBERRY J6</t>
        </is>
      </c>
      <c r="B45" s="9" t="inlineStr">
        <is>
          <t>4 - 5V</t>
        </is>
      </c>
      <c r="C45" s="9" t="inlineStr">
        <is>
          <t>Encoder B Supply</t>
        </is>
      </c>
      <c r="D45" s="9" t="n"/>
      <c r="E45" s="9" t="inlineStr">
        <is>
          <t>5V</t>
        </is>
      </c>
      <c r="F45" s="11">
        <f>IF(N45="","",INDEX(Wires!$A$2:$A$1000,N45))</f>
        <v/>
      </c>
      <c r="G45" s="11">
        <f>IF(N45="","",INDEX(Wires!$C$2:$C$1000,N45))</f>
        <v/>
      </c>
      <c r="H45" s="11">
        <f>IF(N45="","",IF(O45="from",INDEX(Wires!$F$2:$F$1000,N45)&amp;":"&amp;INDEX(Wires!$G$2:$G$1000,N45),INDEX(Wires!$D$2:$D$1000,N45)&amp;":"&amp;INDEX(Wires!$E$2:$E$1000,N45)))</f>
        <v/>
      </c>
      <c r="I45" s="11">
        <f>IF(N45="","",INDEX(Wires!$H$2:$H$1000,N45)&amp;"")</f>
        <v/>
      </c>
      <c r="J45" s="11">
        <f>IF(N45="","",IF(INDEX(Wires!$I$2:$I$1000,N45)="","",INDEX(Wires!$I$2:$I$1000,N45)))</f>
        <v/>
      </c>
      <c r="K45" s="11">
        <f>COUNTIF(Wires!$W$2:$W$1000,M45)+COUNTIF(Wires!$X$2:$X$1000,M45)</f>
        <v/>
      </c>
      <c r="L45" s="11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1">
        <f>A45&amp;":"&amp;B45&amp;IF(EXACT(B45,UPPER(B45)),"","|lc")</f>
        <v/>
      </c>
      <c r="N45" s="11">
        <f>IFERROR(MATCH(M45,Wires!$W$2:$W$1000,0),IFERROR(MATCH(M45,Wires!$X$2:$X$1000,0),""))</f>
        <v/>
      </c>
      <c r="O45" s="11">
        <f>IF(N45="","",IF(ISNUMBER(MATCH(M45,Wires!$W$2:$W$1000,0)),"from","to"))</f>
        <v/>
      </c>
    </row>
    <row r="46">
      <c r="A46" s="9" t="inlineStr">
        <is>
          <t>RASPBERRY J6</t>
        </is>
      </c>
      <c r="B46" s="9" t="inlineStr">
        <is>
          <t>5 -</t>
        </is>
      </c>
      <c r="C46" s="9" t="inlineStr">
        <is>
          <t>Na</t>
        </is>
      </c>
      <c r="D46" s="9" t="n"/>
      <c r="E46" s="9" t="n"/>
      <c r="F46" s="11">
        <f>IF(N46="","",INDEX(Wires!$A$2:$A$1000,N46))</f>
        <v/>
      </c>
      <c r="G46" s="11">
        <f>IF(N46="","",INDEX(Wires!$C$2:$C$1000,N46))</f>
        <v/>
      </c>
      <c r="H46" s="11">
        <f>IF(N46="","",IF(O46="from",INDEX(Wires!$F$2:$F$1000,N46)&amp;":"&amp;INDEX(Wires!$G$2:$G$1000,N46),INDEX(Wires!$D$2:$D$1000,N46)&amp;":"&amp;INDEX(Wires!$E$2:$E$1000,N46)))</f>
        <v/>
      </c>
      <c r="I46" s="11">
        <f>IF(N46="","",INDEX(Wires!$H$2:$H$1000,N46)&amp;"")</f>
        <v/>
      </c>
      <c r="J46" s="11">
        <f>IF(N46="","",IF(INDEX(Wires!$I$2:$I$1000,N46)="","",INDEX(Wires!$I$2:$I$1000,N46)))</f>
        <v/>
      </c>
      <c r="K46" s="11">
        <f>COUNTIF(Wires!$W$2:$W$1000,M46)+COUNTIF(Wires!$X$2:$X$1000,M46)</f>
        <v/>
      </c>
      <c r="L46" s="11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1">
        <f>A46&amp;":"&amp;B46&amp;IF(EXACT(B46,UPPER(B46)),"","|lc")</f>
        <v/>
      </c>
      <c r="N46" s="11">
        <f>IFERROR(MATCH(M46,Wires!$W$2:$W$1000,0),IFERROR(MATCH(M46,Wires!$X$2:$X$1000,0),""))</f>
        <v/>
      </c>
      <c r="O46" s="11">
        <f>IF(N46="","",IF(ISNUMBER(MATCH(M46,Wires!$W$2:$W$1000,0)),"from","to"))</f>
        <v/>
      </c>
    </row>
    <row r="47">
      <c r="A47" s="9" t="inlineStr">
        <is>
          <t>RASPBERRY J6</t>
        </is>
      </c>
      <c r="B47" s="9" t="inlineStr">
        <is>
          <t>6 - GND</t>
        </is>
      </c>
      <c r="C47" s="9" t="inlineStr">
        <is>
          <t>Encoder A GND</t>
        </is>
      </c>
      <c r="D47" s="9" t="n"/>
      <c r="E47" s="9" t="inlineStr">
        <is>
          <t>0V</t>
        </is>
      </c>
      <c r="F47" s="11">
        <f>IF(N47="","",INDEX(Wires!$A$2:$A$1000,N47))</f>
        <v/>
      </c>
      <c r="G47" s="11">
        <f>IF(N47="","",INDEX(Wires!$C$2:$C$1000,N47))</f>
        <v/>
      </c>
      <c r="H47" s="11">
        <f>IF(N47="","",IF(O47="from",INDEX(Wires!$F$2:$F$1000,N47)&amp;":"&amp;INDEX(Wires!$G$2:$G$1000,N47),INDEX(Wires!$D$2:$D$1000,N47)&amp;":"&amp;INDEX(Wires!$E$2:$E$1000,N47)))</f>
        <v/>
      </c>
      <c r="I47" s="11">
        <f>IF(N47="","",INDEX(Wires!$H$2:$H$1000,N47)&amp;"")</f>
        <v/>
      </c>
      <c r="J47" s="11">
        <f>IF(N47="","",IF(INDEX(Wires!$I$2:$I$1000,N47)="","",INDEX(Wires!$I$2:$I$1000,N47)))</f>
        <v/>
      </c>
      <c r="K47" s="11">
        <f>COUNTIF(Wires!$W$2:$W$1000,M47)+COUNTIF(Wires!$X$2:$X$1000,M47)</f>
        <v/>
      </c>
      <c r="L47" s="11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1">
        <f>A47&amp;":"&amp;B47&amp;IF(EXACT(B47,UPPER(B47)),"","|lc")</f>
        <v/>
      </c>
      <c r="N47" s="11">
        <f>IFERROR(MATCH(M47,Wires!$W$2:$W$1000,0),IFERROR(MATCH(M47,Wires!$X$2:$X$1000,0),""))</f>
        <v/>
      </c>
      <c r="O47" s="11">
        <f>IF(N47="","",IF(ISNUMBER(MATCH(M47,Wires!$W$2:$W$1000,0)),"from","to"))</f>
        <v/>
      </c>
    </row>
    <row r="48">
      <c r="A48" s="9" t="inlineStr">
        <is>
          <t>RASPBERRY J6</t>
        </is>
      </c>
      <c r="B48" s="9" t="inlineStr">
        <is>
          <t>7 -</t>
        </is>
      </c>
      <c r="C48" s="9" t="inlineStr">
        <is>
          <t>Na</t>
        </is>
      </c>
      <c r="D48" s="9" t="n"/>
      <c r="E48" s="9" t="n"/>
      <c r="F48" s="11">
        <f>IF(N48="","",INDEX(Wires!$A$2:$A$1000,N48))</f>
        <v/>
      </c>
      <c r="G48" s="11">
        <f>IF(N48="","",INDEX(Wires!$C$2:$C$1000,N48))</f>
        <v/>
      </c>
      <c r="H48" s="11">
        <f>IF(N48="","",IF(O48="from",INDEX(Wires!$F$2:$F$1000,N48)&amp;":"&amp;INDEX(Wires!$G$2:$G$1000,N48),INDEX(Wires!$D$2:$D$1000,N48)&amp;":"&amp;INDEX(Wires!$E$2:$E$1000,N48)))</f>
        <v/>
      </c>
      <c r="I48" s="11">
        <f>IF(N48="","",INDEX(Wires!$H$2:$H$1000,N48)&amp;"")</f>
        <v/>
      </c>
      <c r="J48" s="11">
        <f>IF(N48="","",IF(INDEX(Wires!$I$2:$I$1000,N48)="","",INDEX(Wires!$I$2:$I$1000,N48)))</f>
        <v/>
      </c>
      <c r="K48" s="11">
        <f>COUNTIF(Wires!$W$2:$W$1000,M48)+COUNTIF(Wires!$X$2:$X$1000,M48)</f>
        <v/>
      </c>
      <c r="L48" s="11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1">
        <f>A48&amp;":"&amp;B48&amp;IF(EXACT(B48,UPPER(B48)),"","|lc")</f>
        <v/>
      </c>
      <c r="N48" s="11">
        <f>IFERROR(MATCH(M48,Wires!$W$2:$W$1000,0),IFERROR(MATCH(M48,Wires!$X$2:$X$1000,0),""))</f>
        <v/>
      </c>
      <c r="O48" s="11">
        <f>IF(N48="","",IF(ISNUMBER(MATCH(M48,Wires!$W$2:$W$1000,0)),"from","to"))</f>
        <v/>
      </c>
    </row>
    <row r="49">
      <c r="A49" s="9" t="inlineStr">
        <is>
          <t>RASPBERRY J6</t>
        </is>
      </c>
      <c r="B49" s="9" t="inlineStr">
        <is>
          <t>8 -</t>
        </is>
      </c>
      <c r="C49" s="9" t="inlineStr">
        <is>
          <t>Na</t>
        </is>
      </c>
      <c r="D49" s="9" t="n"/>
      <c r="E49" s="9" t="n"/>
      <c r="F49" s="11">
        <f>IF(N49="","",INDEX(Wires!$A$2:$A$1000,N49))</f>
        <v/>
      </c>
      <c r="G49" s="11">
        <f>IF(N49="","",INDEX(Wires!$C$2:$C$1000,N49))</f>
        <v/>
      </c>
      <c r="H49" s="11">
        <f>IF(N49="","",IF(O49="from",INDEX(Wires!$F$2:$F$1000,N49)&amp;":"&amp;INDEX(Wires!$G$2:$G$1000,N49),INDEX(Wires!$D$2:$D$1000,N49)&amp;":"&amp;INDEX(Wires!$E$2:$E$1000,N49)))</f>
        <v/>
      </c>
      <c r="I49" s="11">
        <f>IF(N49="","",INDEX(Wires!$H$2:$H$1000,N49)&amp;"")</f>
        <v/>
      </c>
      <c r="J49" s="11">
        <f>IF(N49="","",IF(INDEX(Wires!$I$2:$I$1000,N49)="","",INDEX(Wires!$I$2:$I$1000,N49)))</f>
        <v/>
      </c>
      <c r="K49" s="11">
        <f>COUNTIF(Wires!$W$2:$W$1000,M49)+COUNTIF(Wires!$X$2:$X$1000,M49)</f>
        <v/>
      </c>
      <c r="L49" s="11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1">
        <f>A49&amp;":"&amp;B49&amp;IF(EXACT(B49,UPPER(B49)),"","|lc")</f>
        <v/>
      </c>
      <c r="N49" s="11">
        <f>IFERROR(MATCH(M49,Wires!$W$2:$W$1000,0),IFERROR(MATCH(M49,Wires!$X$2:$X$1000,0),""))</f>
        <v/>
      </c>
      <c r="O49" s="11">
        <f>IF(N49="","",IF(ISNUMBER(MATCH(M49,Wires!$W$2:$W$1000,0)),"from","to"))</f>
        <v/>
      </c>
    </row>
    <row r="50">
      <c r="A50" s="9" t="inlineStr">
        <is>
          <t>RASPBERRY J6</t>
        </is>
      </c>
      <c r="B50" s="9" t="inlineStr">
        <is>
          <t>9 - GND</t>
        </is>
      </c>
      <c r="C50" s="9" t="inlineStr">
        <is>
          <t>Encoder B GND</t>
        </is>
      </c>
      <c r="D50" s="9" t="n"/>
      <c r="E50" s="9" t="inlineStr">
        <is>
          <t>0V</t>
        </is>
      </c>
      <c r="F50" s="11">
        <f>IF(N50="","",INDEX(Wires!$A$2:$A$1000,N50))</f>
        <v/>
      </c>
      <c r="G50" s="11">
        <f>IF(N50="","",INDEX(Wires!$C$2:$C$1000,N50))</f>
        <v/>
      </c>
      <c r="H50" s="11">
        <f>IF(N50="","",IF(O50="from",INDEX(Wires!$F$2:$F$1000,N50)&amp;":"&amp;INDEX(Wires!$G$2:$G$1000,N50),INDEX(Wires!$D$2:$D$1000,N50)&amp;":"&amp;INDEX(Wires!$E$2:$E$1000,N50)))</f>
        <v/>
      </c>
      <c r="I50" s="11">
        <f>IF(N50="","",INDEX(Wires!$H$2:$H$1000,N50)&amp;"")</f>
        <v/>
      </c>
      <c r="J50" s="11">
        <f>IF(N50="","",IF(INDEX(Wires!$I$2:$I$1000,N50)="","",INDEX(Wires!$I$2:$I$1000,N50)))</f>
        <v/>
      </c>
      <c r="K50" s="11">
        <f>COUNTIF(Wires!$W$2:$W$1000,M50)+COUNTIF(Wires!$X$2:$X$1000,M50)</f>
        <v/>
      </c>
      <c r="L50" s="11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1">
        <f>A50&amp;":"&amp;B50&amp;IF(EXACT(B50,UPPER(B50)),"","|lc")</f>
        <v/>
      </c>
      <c r="N50" s="11">
        <f>IFERROR(MATCH(M50,Wires!$W$2:$W$1000,0),IFERROR(MATCH(M50,Wires!$X$2:$X$1000,0),""))</f>
        <v/>
      </c>
      <c r="O50" s="11">
        <f>IF(N50="","",IF(ISNUMBER(MATCH(M50,Wires!$W$2:$W$1000,0)),"from","to"))</f>
        <v/>
      </c>
    </row>
    <row r="51">
      <c r="A51" s="9" t="inlineStr">
        <is>
          <t>RASPBERRY J6</t>
        </is>
      </c>
      <c r="B51" s="9" t="inlineStr">
        <is>
          <t>10 -</t>
        </is>
      </c>
      <c r="C51" s="9" t="inlineStr">
        <is>
          <t>Na</t>
        </is>
      </c>
      <c r="D51" s="9" t="n"/>
      <c r="E51" s="9" t="n"/>
      <c r="F51" s="11">
        <f>IF(N51="","",INDEX(Wires!$A$2:$A$1000,N51))</f>
        <v/>
      </c>
      <c r="G51" s="11">
        <f>IF(N51="","",INDEX(Wires!$C$2:$C$1000,N51))</f>
        <v/>
      </c>
      <c r="H51" s="11">
        <f>IF(N51="","",IF(O51="from",INDEX(Wires!$F$2:$F$1000,N51)&amp;":"&amp;INDEX(Wires!$G$2:$G$1000,N51),INDEX(Wires!$D$2:$D$1000,N51)&amp;":"&amp;INDEX(Wires!$E$2:$E$1000,N51)))</f>
        <v/>
      </c>
      <c r="I51" s="11">
        <f>IF(N51="","",INDEX(Wires!$H$2:$H$1000,N51)&amp;"")</f>
        <v/>
      </c>
      <c r="J51" s="11">
        <f>IF(N51="","",IF(INDEX(Wires!$I$2:$I$1000,N51)="","",INDEX(Wires!$I$2:$I$1000,N51)))</f>
        <v/>
      </c>
      <c r="K51" s="11">
        <f>COUNTIF(Wires!$W$2:$W$1000,M51)+COUNTIF(Wires!$X$2:$X$1000,M51)</f>
        <v/>
      </c>
      <c r="L51" s="11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1">
        <f>A51&amp;":"&amp;B51&amp;IF(EXACT(B51,UPPER(B51)),"","|lc")</f>
        <v/>
      </c>
      <c r="N51" s="11">
        <f>IFERROR(MATCH(M51,Wires!$W$2:$W$1000,0),IFERROR(MATCH(M51,Wires!$X$2:$X$1000,0),""))</f>
        <v/>
      </c>
      <c r="O51" s="11">
        <f>IF(N51="","",IF(ISNUMBER(MATCH(M51,Wires!$W$2:$W$1000,0)),"from","to"))</f>
        <v/>
      </c>
    </row>
    <row r="52">
      <c r="A52" s="9" t="inlineStr">
        <is>
          <t>RASPBERRY J6</t>
        </is>
      </c>
      <c r="B52" s="9" t="inlineStr">
        <is>
          <t>11 - GPIO 17</t>
        </is>
      </c>
      <c r="C52" s="9" t="inlineStr">
        <is>
          <t>Button OK</t>
        </is>
      </c>
      <c r="D52" s="9" t="n"/>
      <c r="E52" s="9" t="inlineStr">
        <is>
          <t>3.3V</t>
        </is>
      </c>
      <c r="F52" s="11">
        <f>IF(N52="","",INDEX(Wires!$A$2:$A$1000,N52))</f>
        <v/>
      </c>
      <c r="G52" s="11">
        <f>IF(N52="","",INDEX(Wires!$C$2:$C$1000,N52))</f>
        <v/>
      </c>
      <c r="H52" s="11">
        <f>IF(N52="","",IF(O52="from",INDEX(Wires!$F$2:$F$1000,N52)&amp;":"&amp;INDEX(Wires!$G$2:$G$1000,N52),INDEX(Wires!$D$2:$D$1000,N52)&amp;":"&amp;INDEX(Wires!$E$2:$E$1000,N52)))</f>
        <v/>
      </c>
      <c r="I52" s="11">
        <f>IF(N52="","",INDEX(Wires!$H$2:$H$1000,N52)&amp;"")</f>
        <v/>
      </c>
      <c r="J52" s="11">
        <f>IF(N52="","",IF(INDEX(Wires!$I$2:$I$1000,N52)="","",INDEX(Wires!$I$2:$I$1000,N52)))</f>
        <v/>
      </c>
      <c r="K52" s="11">
        <f>COUNTIF(Wires!$W$2:$W$1000,M52)+COUNTIF(Wires!$X$2:$X$1000,M52)</f>
        <v/>
      </c>
      <c r="L52" s="11">
        <f>IF(AND(K52=0,C52&lt;&gt;"",D52&lt;&gt;"NC"),"pino com sinal mas sem fio; ","")&amp;IF(AND(D52="NC",K52&gt;0),"pino NC com fio; ","")&amp;IF(AND(K52&gt;1,ISERROR(MATCH(IFERROR(INDEX(Connectors!$D$2:$D$1000,MATCH(A52,Connectors!$A$2:$A$1000,0)),""),{"SPLICE","STUD"},0))),"vários fios no mesmo pino; ","")</f>
        <v/>
      </c>
      <c r="M52" s="11">
        <f>A52&amp;":"&amp;B52&amp;IF(EXACT(B52,UPPER(B52)),"","|lc")</f>
        <v/>
      </c>
      <c r="N52" s="11">
        <f>IFERROR(MATCH(M52,Wires!$W$2:$W$1000,0),IFERROR(MATCH(M52,Wires!$X$2:$X$1000,0),""))</f>
        <v/>
      </c>
      <c r="O52" s="11">
        <f>IF(N52="","",IF(ISNUMBER(MATCH(M52,Wires!$W$2:$W$1000,0)),"from","to"))</f>
        <v/>
      </c>
    </row>
    <row r="53">
      <c r="A53" s="9" t="inlineStr">
        <is>
          <t>RASPBERRY J6</t>
        </is>
      </c>
      <c r="B53" s="9" t="inlineStr">
        <is>
          <t>12 - GPIO 18</t>
        </is>
      </c>
      <c r="C53" s="9" t="inlineStr">
        <is>
          <t>LED PWM</t>
        </is>
      </c>
      <c r="D53" s="9" t="n"/>
      <c r="E53" s="9" t="inlineStr">
        <is>
          <t>3.3V</t>
        </is>
      </c>
      <c r="F53" s="11">
        <f>IF(N53="","",INDEX(Wires!$A$2:$A$1000,N53))</f>
        <v/>
      </c>
      <c r="G53" s="11">
        <f>IF(N53="","",INDEX(Wires!$C$2:$C$1000,N53))</f>
        <v/>
      </c>
      <c r="H53" s="11">
        <f>IF(N53="","",IF(O53="from",INDEX(Wires!$F$2:$F$1000,N53)&amp;":"&amp;INDEX(Wires!$G$2:$G$1000,N53),INDEX(Wires!$D$2:$D$1000,N53)&amp;":"&amp;INDEX(Wires!$E$2:$E$1000,N53)))</f>
        <v/>
      </c>
      <c r="I53" s="11">
        <f>IF(N53="","",INDEX(Wires!$H$2:$H$1000,N53)&amp;"")</f>
        <v/>
      </c>
      <c r="J53" s="11">
        <f>IF(N53="","",IF(INDEX(Wires!$I$2:$I$1000,N53)="","",INDEX(Wires!$I$2:$I$1000,N53)))</f>
        <v/>
      </c>
      <c r="K53" s="11">
        <f>COUNTIF(Wires!$W$2:$W$1000,M53)+COUNTIF(Wires!$X$2:$X$1000,M53)</f>
        <v/>
      </c>
      <c r="L53" s="11">
        <f>IF(AND(K53=0,C53&lt;&gt;"",D53&lt;&gt;"NC"),"pino com sinal mas sem fio; ","")&amp;IF(AND(D53="NC",K53&gt;0),"pino NC com fio; ","")&amp;IF(AND(K53&gt;1,ISERROR(MATCH(IFERROR(INDEX(Connectors!$D$2:$D$1000,MATCH(A53,Connectors!$A$2:$A$1000,0)),""),{"SPLICE","STUD"},0))),"vários fios no mesmo pino; ","")</f>
        <v/>
      </c>
      <c r="M53" s="11">
        <f>A53&amp;":"&amp;B53&amp;IF(EXACT(B53,UPPER(B53)),"","|lc")</f>
        <v/>
      </c>
      <c r="N53" s="11">
        <f>IFERROR(MATCH(M53,Wires!$W$2:$W$1000,0),IFERROR(MATCH(M53,Wires!$X$2:$X$1000,0),""))</f>
        <v/>
      </c>
      <c r="O53" s="11">
        <f>IF(N53="","",IF(ISNUMBER(MATCH(M53,Wires!$W$2:$W$1000,0)),"from","to"))</f>
        <v/>
      </c>
    </row>
    <row r="54">
      <c r="A54" s="9" t="inlineStr">
        <is>
          <t>RASPBERRY J6</t>
        </is>
      </c>
      <c r="B54" s="9" t="inlineStr">
        <is>
          <t>13 - GPIO 27</t>
        </is>
      </c>
      <c r="C54" s="9" t="inlineStr">
        <is>
          <t>Button Next_Page</t>
        </is>
      </c>
      <c r="D54" s="9" t="n"/>
      <c r="E54" s="9" t="inlineStr">
        <is>
          <t>3.3V</t>
        </is>
      </c>
      <c r="F54" s="11">
        <f>IF(N54="","",INDEX(Wires!$A$2:$A$1000,N54))</f>
        <v/>
      </c>
      <c r="G54" s="11">
        <f>IF(N54="","",INDEX(Wires!$C$2:$C$1000,N54))</f>
        <v/>
      </c>
      <c r="H54" s="11">
        <f>IF(N54="","",IF(O54="from",INDEX(Wires!$F$2:$F$1000,N54)&amp;":"&amp;INDEX(Wires!$G$2:$G$1000,N54),INDEX(Wires!$D$2:$D$1000,N54)&amp;":"&amp;INDEX(Wires!$E$2:$E$1000,N54)))</f>
        <v/>
      </c>
      <c r="I54" s="11">
        <f>IF(N54="","",INDEX(Wires!$H$2:$H$1000,N54)&amp;"")</f>
        <v/>
      </c>
      <c r="J54" s="11">
        <f>IF(N54="","",IF(INDEX(Wires!$I$2:$I$1000,N54)="","",INDEX(Wires!$I$2:$I$1000,N54)))</f>
        <v/>
      </c>
      <c r="K54" s="11">
        <f>COUNTIF(Wires!$W$2:$W$1000,M54)+COUNTIF(Wires!$X$2:$X$1000,M54)</f>
        <v/>
      </c>
      <c r="L54" s="11">
        <f>IF(AND(K54=0,C54&lt;&gt;"",D54&lt;&gt;"NC"),"pino com sinal mas sem fio; ","")&amp;IF(AND(D54="NC",K54&gt;0),"pino NC com fio; ","")&amp;IF(AND(K54&gt;1,ISERROR(MATCH(IFERROR(INDEX(Connectors!$D$2:$D$1000,MATCH(A54,Connectors!$A$2:$A$1000,0)),""),{"SPLICE","STUD"},0))),"vários fios no mesmo pino; ","")</f>
        <v/>
      </c>
      <c r="M54" s="11">
        <f>A54&amp;":"&amp;B54&amp;IF(EXACT(B54,UPPER(B54)),"","|lc")</f>
        <v/>
      </c>
      <c r="N54" s="11">
        <f>IFERROR(MATCH(M54,Wires!$W$2:$W$1000,0),IFERROR(MATCH(M54,Wires!$X$2:$X$1000,0),""))</f>
        <v/>
      </c>
      <c r="O54" s="11">
        <f>IF(N54="","",IF(ISNUMBER(MATCH(M54,Wires!$W$2:$W$1000,0)),"from","to"))</f>
        <v/>
      </c>
    </row>
    <row r="55">
      <c r="A55" s="9" t="inlineStr">
        <is>
          <t>RASPBERRY J6</t>
        </is>
      </c>
      <c r="B55" s="9" t="inlineStr">
        <is>
          <t>14 - GND</t>
        </is>
      </c>
      <c r="C55" s="9" t="n"/>
      <c r="D55" s="9" t="n"/>
      <c r="E55" s="9" t="n"/>
      <c r="F55" s="11">
        <f>IF(N55="","",INDEX(Wires!$A$2:$A$1000,N55))</f>
        <v/>
      </c>
      <c r="G55" s="11">
        <f>IF(N55="","",INDEX(Wires!$C$2:$C$1000,N55))</f>
        <v/>
      </c>
      <c r="H55" s="11">
        <f>IF(N55="","",IF(O55="from",INDEX(Wires!$F$2:$F$1000,N55)&amp;":"&amp;INDEX(Wires!$G$2:$G$1000,N55),INDEX(Wires!$D$2:$D$1000,N55)&amp;":"&amp;INDEX(Wires!$E$2:$E$1000,N55)))</f>
        <v/>
      </c>
      <c r="I55" s="11">
        <f>IF(N55="","",INDEX(Wires!$H$2:$H$1000,N55)&amp;"")</f>
        <v/>
      </c>
      <c r="J55" s="11">
        <f>IF(N55="","",IF(INDEX(Wires!$I$2:$I$1000,N55)="","",INDEX(Wires!$I$2:$I$1000,N55)))</f>
        <v/>
      </c>
      <c r="K55" s="11">
        <f>COUNTIF(Wires!$W$2:$W$1000,M55)+COUNTIF(Wires!$X$2:$X$1000,M55)</f>
        <v/>
      </c>
      <c r="L55" s="11">
        <f>IF(AND(K55=0,C55&lt;&gt;"",D55&lt;&gt;"NC"),"pino com sinal mas sem fio; ","")&amp;IF(AND(D55="NC",K55&gt;0),"pino NC com fio; ","")&amp;IF(AND(K55&gt;1,ISERROR(MATCH(IFERROR(INDEX(Connectors!$D$2:$D$1000,MATCH(A55,Connectors!$A$2:$A$1000,0)),""),{"SPLICE","STUD"},0))),"vários fios no mesmo pino; ","")</f>
        <v/>
      </c>
      <c r="M55" s="11">
        <f>A55&amp;":"&amp;B55&amp;IF(EXACT(B55,UPPER(B55)),"","|lc")</f>
        <v/>
      </c>
      <c r="N55" s="11">
        <f>IFERROR(MATCH(M55,Wires!$W$2:$W$1000,0),IFERROR(MATCH(M55,Wires!$X$2:$X$1000,0),""))</f>
        <v/>
      </c>
      <c r="O55" s="11">
        <f>IF(N55="","",IF(ISNUMBER(MATCH(M55,Wires!$W$2:$W$1000,0)),"from","to"))</f>
        <v/>
      </c>
    </row>
    <row r="56">
      <c r="A56" s="9" t="inlineStr">
        <is>
          <t>RASPBERRY J6</t>
        </is>
      </c>
      <c r="B56" s="9" t="inlineStr">
        <is>
          <t>15 -</t>
        </is>
      </c>
      <c r="C56" s="9" t="inlineStr">
        <is>
          <t>Na</t>
        </is>
      </c>
      <c r="D56" s="9" t="n"/>
      <c r="E56" s="9" t="n"/>
      <c r="F56" s="11">
        <f>IF(N56="","",INDEX(Wires!$A$2:$A$1000,N56))</f>
        <v/>
      </c>
      <c r="G56" s="11">
        <f>IF(N56="","",INDEX(Wires!$C$2:$C$1000,N56))</f>
        <v/>
      </c>
      <c r="H56" s="11">
        <f>IF(N56="","",IF(O56="from",INDEX(Wires!$F$2:$F$1000,N56)&amp;":"&amp;INDEX(Wires!$G$2:$G$1000,N56),INDEX(Wires!$D$2:$D$1000,N56)&amp;":"&amp;INDEX(Wires!$E$2:$E$1000,N56)))</f>
        <v/>
      </c>
      <c r="I56" s="11">
        <f>IF(N56="","",INDEX(Wires!$H$2:$H$1000,N56)&amp;"")</f>
        <v/>
      </c>
      <c r="J56" s="11">
        <f>IF(N56="","",IF(INDEX(Wires!$I$2:$I$1000,N56)="","",INDEX(Wires!$I$2:$I$1000,N56)))</f>
        <v/>
      </c>
      <c r="K56" s="11">
        <f>COUNTIF(Wires!$W$2:$W$1000,M56)+COUNTIF(Wires!$X$2:$X$1000,M56)</f>
        <v/>
      </c>
      <c r="L56" s="11">
        <f>IF(AND(K56=0,C56&lt;&gt;"",D56&lt;&gt;"NC"),"pino com sinal mas sem fio; ","")&amp;IF(AND(D56="NC",K56&gt;0),"pino NC com fio; ","")&amp;IF(AND(K56&gt;1,ISERROR(MATCH(IFERROR(INDEX(Connectors!$D$2:$D$1000,MATCH(A56,Connectors!$A$2:$A$1000,0)),""),{"SPLICE","STUD"},0))),"vários fios no mesmo pino; ","")</f>
        <v/>
      </c>
      <c r="M56" s="11">
        <f>A56&amp;":"&amp;B56&amp;IF(EXACT(B56,UPPER(B56)),"","|lc")</f>
        <v/>
      </c>
      <c r="N56" s="11">
        <f>IFERROR(MATCH(M56,Wires!$W$2:$W$1000,0),IFERROR(MATCH(M56,Wires!$X$2:$X$1000,0),""))</f>
        <v/>
      </c>
      <c r="O56" s="11">
        <f>IF(N56="","",IF(ISNUMBER(MATCH(M56,Wires!$W$2:$W$1000,0)),"from","to"))</f>
        <v/>
      </c>
    </row>
    <row r="57">
      <c r="A57" s="9" t="inlineStr">
        <is>
          <t>RASPBERRY J6</t>
        </is>
      </c>
      <c r="B57" s="9" t="inlineStr">
        <is>
          <t>16 - GPIO 23</t>
        </is>
      </c>
      <c r="C57" s="9" t="inlineStr">
        <is>
          <t>Encoder A Data</t>
        </is>
      </c>
      <c r="D57" s="9" t="n"/>
      <c r="E57" s="9" t="inlineStr">
        <is>
          <t>5V</t>
        </is>
      </c>
      <c r="F57" s="11">
        <f>IF(N57="","",INDEX(Wires!$A$2:$A$1000,N57))</f>
        <v/>
      </c>
      <c r="G57" s="11">
        <f>IF(N57="","",INDEX(Wires!$C$2:$C$1000,N57))</f>
        <v/>
      </c>
      <c r="H57" s="11">
        <f>IF(N57="","",IF(O57="from",INDEX(Wires!$F$2:$F$1000,N57)&amp;":"&amp;INDEX(Wires!$G$2:$G$1000,N57),INDEX(Wires!$D$2:$D$1000,N57)&amp;":"&amp;INDEX(Wires!$E$2:$E$1000,N57)))</f>
        <v/>
      </c>
      <c r="I57" s="11">
        <f>IF(N57="","",INDEX(Wires!$H$2:$H$1000,N57)&amp;"")</f>
        <v/>
      </c>
      <c r="J57" s="11">
        <f>IF(N57="","",IF(INDEX(Wires!$I$2:$I$1000,N57)="","",INDEX(Wires!$I$2:$I$1000,N57)))</f>
        <v/>
      </c>
      <c r="K57" s="11">
        <f>COUNTIF(Wires!$W$2:$W$1000,M57)+COUNTIF(Wires!$X$2:$X$1000,M57)</f>
        <v/>
      </c>
      <c r="L57" s="11">
        <f>IF(AND(K57=0,C57&lt;&gt;"",D57&lt;&gt;"NC"),"pino com sinal mas sem fio; ","")&amp;IF(AND(D57="NC",K57&gt;0),"pino NC com fio; ","")&amp;IF(AND(K57&gt;1,ISERROR(MATCH(IFERROR(INDEX(Connectors!$D$2:$D$1000,MATCH(A57,Connectors!$A$2:$A$1000,0)),""),{"SPLICE","STUD"},0))),"vários fios no mesmo pino; ","")</f>
        <v/>
      </c>
      <c r="M57" s="11">
        <f>A57&amp;":"&amp;B57&amp;IF(EXACT(B57,UPPER(B57)),"","|lc")</f>
        <v/>
      </c>
      <c r="N57" s="11">
        <f>IFERROR(MATCH(M57,Wires!$W$2:$W$1000,0),IFERROR(MATCH(M57,Wires!$X$2:$X$1000,0),""))</f>
        <v/>
      </c>
      <c r="O57" s="11">
        <f>IF(N57="","",IF(ISNUMBER(MATCH(M57,Wires!$W$2:$W$1000,0)),"from","to"))</f>
        <v/>
      </c>
    </row>
    <row r="58">
      <c r="A58" s="9" t="inlineStr">
        <is>
          <t>RASPBERRY J6</t>
        </is>
      </c>
      <c r="B58" s="9" t="inlineStr">
        <is>
          <t>17 - 3,3V</t>
        </is>
      </c>
      <c r="C58" s="9" t="inlineStr">
        <is>
          <t>Buttons_Power</t>
        </is>
      </c>
      <c r="D58" s="9" t="n"/>
      <c r="E58" s="9" t="inlineStr">
        <is>
          <t>3.3V</t>
        </is>
      </c>
      <c r="F58" s="11">
        <f>IF(N58="","",INDEX(Wires!$A$2:$A$1000,N58))</f>
        <v/>
      </c>
      <c r="G58" s="11">
        <f>IF(N58="","",INDEX(Wires!$C$2:$C$1000,N58))</f>
        <v/>
      </c>
      <c r="H58" s="11">
        <f>IF(N58="","",IF(O58="from",INDEX(Wires!$F$2:$F$1000,N58)&amp;":"&amp;INDEX(Wires!$G$2:$G$1000,N58),INDEX(Wires!$D$2:$D$1000,N58)&amp;":"&amp;INDEX(Wires!$E$2:$E$1000,N58)))</f>
        <v/>
      </c>
      <c r="I58" s="11">
        <f>IF(N58="","",INDEX(Wires!$H$2:$H$1000,N58)&amp;"")</f>
        <v/>
      </c>
      <c r="J58" s="11">
        <f>IF(N58="","",IF(INDEX(Wires!$I$2:$I$1000,N58)="","",INDEX(Wires!$I$2:$I$1000,N58)))</f>
        <v/>
      </c>
      <c r="K58" s="11">
        <f>COUNTIF(Wires!$W$2:$W$1000,M58)+COUNTIF(Wires!$X$2:$X$1000,M58)</f>
        <v/>
      </c>
      <c r="L58" s="11">
        <f>IF(AND(K58=0,C58&lt;&gt;"",D58&lt;&gt;"NC"),"pino com sinal mas sem fio; ","")&amp;IF(AND(D58="NC",K58&gt;0),"pino NC com fio; ","")&amp;IF(AND(K58&gt;1,ISERROR(MATCH(IFERROR(INDEX(Connectors!$D$2:$D$1000,MATCH(A58,Connectors!$A$2:$A$1000,0)),""),{"SPLICE","STUD"},0))),"vários fios no mesmo pino; ","")</f>
        <v/>
      </c>
      <c r="M58" s="11">
        <f>A58&amp;":"&amp;B58&amp;IF(EXACT(B58,UPPER(B58)),"","|lc")</f>
        <v/>
      </c>
      <c r="N58" s="11">
        <f>IFERROR(MATCH(M58,Wires!$W$2:$W$1000,0),IFERROR(MATCH(M58,Wires!$X$2:$X$1000,0),""))</f>
        <v/>
      </c>
      <c r="O58" s="11">
        <f>IF(N58="","",IF(ISNUMBER(MATCH(M58,Wires!$W$2:$W$1000,0)),"from","to"))</f>
        <v/>
      </c>
    </row>
    <row r="59">
      <c r="A59" s="9" t="inlineStr">
        <is>
          <t>RASPBERRY J6</t>
        </is>
      </c>
      <c r="B59" s="9" t="inlineStr">
        <is>
          <t>18 - GPIO 24</t>
        </is>
      </c>
      <c r="C59" s="9" t="inlineStr">
        <is>
          <t>Encoder B CLK</t>
        </is>
      </c>
      <c r="D59" s="9" t="n"/>
      <c r="E59" s="9" t="inlineStr">
        <is>
          <t>5V</t>
        </is>
      </c>
      <c r="F59" s="11">
        <f>IF(N59="","",INDEX(Wires!$A$2:$A$1000,N59))</f>
        <v/>
      </c>
      <c r="G59" s="11">
        <f>IF(N59="","",INDEX(Wires!$C$2:$C$1000,N59))</f>
        <v/>
      </c>
      <c r="H59" s="11">
        <f>IF(N59="","",IF(O59="from",INDEX(Wires!$F$2:$F$1000,N59)&amp;":"&amp;INDEX(Wires!$G$2:$G$1000,N59),INDEX(Wires!$D$2:$D$1000,N59)&amp;":"&amp;INDEX(Wires!$E$2:$E$1000,N59)))</f>
        <v/>
      </c>
      <c r="I59" s="11">
        <f>IF(N59="","",INDEX(Wires!$H$2:$H$1000,N59)&amp;"")</f>
        <v/>
      </c>
      <c r="J59" s="11">
        <f>IF(N59="","",IF(INDEX(Wires!$I$2:$I$1000,N59)="","",INDEX(Wires!$I$2:$I$1000,N59)))</f>
        <v/>
      </c>
      <c r="K59" s="11">
        <f>COUNTIF(Wires!$W$2:$W$1000,M59)+COUNTIF(Wires!$X$2:$X$1000,M59)</f>
        <v/>
      </c>
      <c r="L59" s="11">
        <f>IF(AND(K59=0,C59&lt;&gt;"",D59&lt;&gt;"NC"),"pino com sinal mas sem fio; ","")&amp;IF(AND(D59="NC",K59&gt;0),"pino NC com fio; ","")&amp;IF(AND(K59&gt;1,ISERROR(MATCH(IFERROR(INDEX(Connectors!$D$2:$D$1000,MATCH(A59,Connectors!$A$2:$A$1000,0)),""),{"SPLICE","STUD"},0))),"vários fios no mesmo pino; ","")</f>
        <v/>
      </c>
      <c r="M59" s="11">
        <f>A59&amp;":"&amp;B59&amp;IF(EXACT(B59,UPPER(B59)),"","|lc")</f>
        <v/>
      </c>
      <c r="N59" s="11">
        <f>IFERROR(MATCH(M59,Wires!$W$2:$W$1000,0),IFERROR(MATCH(M59,Wires!$X$2:$X$1000,0),""))</f>
        <v/>
      </c>
      <c r="O59" s="11">
        <f>IF(N59="","",IF(ISNUMBER(MATCH(M59,Wires!$W$2:$W$1000,0)),"from","to"))</f>
        <v/>
      </c>
    </row>
    <row r="60">
      <c r="A60" s="9" t="inlineStr">
        <is>
          <t>RASPBERRY J6</t>
        </is>
      </c>
      <c r="B60" s="9" t="inlineStr">
        <is>
          <t>19 -</t>
        </is>
      </c>
      <c r="C60" s="9" t="inlineStr">
        <is>
          <t>Na</t>
        </is>
      </c>
      <c r="D60" s="9" t="n"/>
      <c r="E60" s="9" t="n"/>
      <c r="F60" s="11">
        <f>IF(N60="","",INDEX(Wires!$A$2:$A$1000,N60))</f>
        <v/>
      </c>
      <c r="G60" s="11">
        <f>IF(N60="","",INDEX(Wires!$C$2:$C$1000,N60))</f>
        <v/>
      </c>
      <c r="H60" s="11">
        <f>IF(N60="","",IF(O60="from",INDEX(Wires!$F$2:$F$1000,N60)&amp;":"&amp;INDEX(Wires!$G$2:$G$1000,N60),INDEX(Wires!$D$2:$D$1000,N60)&amp;":"&amp;INDEX(Wires!$E$2:$E$1000,N60)))</f>
        <v/>
      </c>
      <c r="I60" s="11">
        <f>IF(N60="","",INDEX(Wires!$H$2:$H$1000,N60)&amp;"")</f>
        <v/>
      </c>
      <c r="J60" s="11">
        <f>IF(N60="","",IF(INDEX(Wires!$I$2:$I$1000,N60)="","",INDEX(Wires!$I$2:$I$1000,N60)))</f>
        <v/>
      </c>
      <c r="K60" s="11">
        <f>COUNTIF(Wires!$W$2:$W$1000,M60)+COUNTIF(Wires!$X$2:$X$1000,M60)</f>
        <v/>
      </c>
      <c r="L60" s="11">
        <f>IF(AND(K60=0,C60&lt;&gt;"",D60&lt;&gt;"NC"),"pino com sinal mas sem fio; ","")&amp;IF(AND(D60="NC",K60&gt;0),"pino NC com fio; ","")&amp;IF(AND(K60&gt;1,ISERROR(MATCH(IFERROR(INDEX(Connectors!$D$2:$D$1000,MATCH(A60,Connectors!$A$2:$A$1000,0)),""),{"SPLICE","STUD"},0))),"vários fios no mesmo pino; ","")</f>
        <v/>
      </c>
      <c r="M60" s="11">
        <f>A60&amp;":"&amp;B60&amp;IF(EXACT(B60,UPPER(B60)),"","|lc")</f>
        <v/>
      </c>
      <c r="N60" s="11">
        <f>IFERROR(MATCH(M60,Wires!$W$2:$W$1000,0),IFERROR(MATCH(M60,Wires!$X$2:$X$1000,0),""))</f>
        <v/>
      </c>
      <c r="O60" s="11">
        <f>IF(N60="","",IF(ISNUMBER(MATCH(M60,Wires!$W$2:$W$1000,0)),"from","to"))</f>
        <v/>
      </c>
    </row>
    <row r="61">
      <c r="A61" s="9" t="inlineStr">
        <is>
          <t>RASPBERRY J6</t>
        </is>
      </c>
      <c r="B61" s="9" t="inlineStr">
        <is>
          <t>20 - GND</t>
        </is>
      </c>
      <c r="C61" s="9" t="inlineStr">
        <is>
          <t>LED_STRIP_GND</t>
        </is>
      </c>
      <c r="D61" s="9" t="n"/>
      <c r="E61" s="9" t="n"/>
      <c r="F61" s="11">
        <f>IF(N61="","",INDEX(Wires!$A$2:$A$1000,N61))</f>
        <v/>
      </c>
      <c r="G61" s="11">
        <f>IF(N61="","",INDEX(Wires!$C$2:$C$1000,N61))</f>
        <v/>
      </c>
      <c r="H61" s="11">
        <f>IF(N61="","",IF(O61="from",INDEX(Wires!$F$2:$F$1000,N61)&amp;":"&amp;INDEX(Wires!$G$2:$G$1000,N61),INDEX(Wires!$D$2:$D$1000,N61)&amp;":"&amp;INDEX(Wires!$E$2:$E$1000,N61)))</f>
        <v/>
      </c>
      <c r="I61" s="11">
        <f>IF(N61="","",INDEX(Wires!$H$2:$H$1000,N61)&amp;"")</f>
        <v/>
      </c>
      <c r="J61" s="11">
        <f>IF(N61="","",IF(INDEX(Wires!$I$2:$I$1000,N61)="","",INDEX(Wires!$I$2:$I$1000,N61)))</f>
        <v/>
      </c>
      <c r="K61" s="11">
        <f>COUNTIF(Wires!$W$2:$W$1000,M61)+COUNTIF(Wires!$X$2:$X$1000,M61)</f>
        <v/>
      </c>
      <c r="L61" s="11">
        <f>IF(AND(K61=0,C61&lt;&gt;"",D61&lt;&gt;"NC"),"pino com sinal mas sem fio; ","")&amp;IF(AND(D61="NC",K61&gt;0),"pino NC com fio; ","")&amp;IF(AND(K61&gt;1,ISERROR(MATCH(IFERROR(INDEX(Connectors!$D$2:$D$1000,MATCH(A61,Connectors!$A$2:$A$1000,0)),""),{"SPLICE","STUD"},0))),"vários fios no mesmo pino; ","")</f>
        <v/>
      </c>
      <c r="M61" s="11">
        <f>A61&amp;":"&amp;B61&amp;IF(EXACT(B61,UPPER(B61)),"","|lc")</f>
        <v/>
      </c>
      <c r="N61" s="11">
        <f>IFERROR(MATCH(M61,Wires!$W$2:$W$1000,0),IFERROR(MATCH(M61,Wires!$X$2:$X$1000,0),""))</f>
        <v/>
      </c>
      <c r="O61" s="11">
        <f>IF(N61="","",IF(ISNUMBER(MATCH(M61,Wires!$W$2:$W$1000,0)),"from","to"))</f>
        <v/>
      </c>
    </row>
    <row r="62">
      <c r="A62" s="9" t="inlineStr">
        <is>
          <t>RASPBERRY J6</t>
        </is>
      </c>
      <c r="B62" s="9" t="inlineStr">
        <is>
          <t>21 -</t>
        </is>
      </c>
      <c r="C62" s="9" t="inlineStr">
        <is>
          <t>Na</t>
        </is>
      </c>
      <c r="D62" s="9" t="n"/>
      <c r="E62" s="9" t="n"/>
      <c r="F62" s="11">
        <f>IF(N62="","",INDEX(Wires!$A$2:$A$1000,N62))</f>
        <v/>
      </c>
      <c r="G62" s="11">
        <f>IF(N62="","",INDEX(Wires!$C$2:$C$1000,N62))</f>
        <v/>
      </c>
      <c r="H62" s="11">
        <f>IF(N62="","",IF(O62="from",INDEX(Wires!$F$2:$F$1000,N62)&amp;":"&amp;INDEX(Wires!$G$2:$G$1000,N62),INDEX(Wires!$D$2:$D$1000,N62)&amp;":"&amp;INDEX(Wires!$E$2:$E$1000,N62)))</f>
        <v/>
      </c>
      <c r="I62" s="11">
        <f>IF(N62="","",INDEX(Wires!$H$2:$H$1000,N62)&amp;"")</f>
        <v/>
      </c>
      <c r="J62" s="11">
        <f>IF(N62="","",IF(INDEX(Wires!$I$2:$I$1000,N62)="","",INDEX(Wires!$I$2:$I$1000,N62)))</f>
        <v/>
      </c>
      <c r="K62" s="11">
        <f>COUNTIF(Wires!$W$2:$W$1000,M62)+COUNTIF(Wires!$X$2:$X$1000,M62)</f>
        <v/>
      </c>
      <c r="L62" s="11">
        <f>IF(AND(K62=0,C62&lt;&gt;"",D62&lt;&gt;"NC"),"pino com sinal mas sem fio; ","")&amp;IF(AND(D62="NC",K62&gt;0),"pino NC com fio; ","")&amp;IF(AND(K62&gt;1,ISERROR(MATCH(IFERROR(INDEX(Connectors!$D$2:$D$1000,MATCH(A62,Connectors!$A$2:$A$1000,0)),""),{"SPLICE","STUD"},0))),"vários fios no mesmo pino; ","")</f>
        <v/>
      </c>
      <c r="M62" s="11">
        <f>A62&amp;":"&amp;B62&amp;IF(EXACT(B62,UPPER(B62)),"","|lc")</f>
        <v/>
      </c>
      <c r="N62" s="11">
        <f>IFERROR(MATCH(M62,Wires!$W$2:$W$1000,0),IFERROR(MATCH(M62,Wires!$X$2:$X$1000,0),""))</f>
        <v/>
      </c>
      <c r="O62" s="11">
        <f>IF(N62="","",IF(ISNUMBER(MATCH(M62,Wires!$W$2:$W$1000,0)),"from","to"))</f>
        <v/>
      </c>
    </row>
    <row r="63">
      <c r="A63" s="9" t="inlineStr">
        <is>
          <t>RASPBERRY J6</t>
        </is>
      </c>
      <c r="B63" s="9" t="inlineStr">
        <is>
          <t>22 - GPIO 25</t>
        </is>
      </c>
      <c r="C63" s="9" t="inlineStr">
        <is>
          <t>Encoder B Data</t>
        </is>
      </c>
      <c r="D63" s="9" t="n"/>
      <c r="E63" s="9" t="inlineStr">
        <is>
          <t>5V</t>
        </is>
      </c>
      <c r="F63" s="11">
        <f>IF(N63="","",INDEX(Wires!$A$2:$A$1000,N63))</f>
        <v/>
      </c>
      <c r="G63" s="11">
        <f>IF(N63="","",INDEX(Wires!$C$2:$C$1000,N63))</f>
        <v/>
      </c>
      <c r="H63" s="11">
        <f>IF(N63="","",IF(O63="from",INDEX(Wires!$F$2:$F$1000,N63)&amp;":"&amp;INDEX(Wires!$G$2:$G$1000,N63),INDEX(Wires!$D$2:$D$1000,N63)&amp;":"&amp;INDEX(Wires!$E$2:$E$1000,N63)))</f>
        <v/>
      </c>
      <c r="I63" s="11">
        <f>IF(N63="","",INDEX(Wires!$H$2:$H$1000,N63)&amp;"")</f>
        <v/>
      </c>
      <c r="J63" s="11">
        <f>IF(N63="","",IF(INDEX(Wires!$I$2:$I$1000,N63)="","",INDEX(Wires!$I$2:$I$1000,N63)))</f>
        <v/>
      </c>
      <c r="K63" s="11">
        <f>COUNTIF(Wires!$W$2:$W$1000,M63)+COUNTIF(Wires!$X$2:$X$1000,M63)</f>
        <v/>
      </c>
      <c r="L63" s="11">
        <f>IF(AND(K63=0,C63&lt;&gt;"",D63&lt;&gt;"NC"),"pino com sinal mas sem fio; ","")&amp;IF(AND(D63="NC",K63&gt;0),"pino NC com fio; ","")&amp;IF(AND(K63&gt;1,ISERROR(MATCH(IFERROR(INDEX(Connectors!$D$2:$D$1000,MATCH(A63,Connectors!$A$2:$A$1000,0)),""),{"SPLICE","STUD"},0))),"vários fios no mesmo pino; ","")</f>
        <v/>
      </c>
      <c r="M63" s="11">
        <f>A63&amp;":"&amp;B63&amp;IF(EXACT(B63,UPPER(B63)),"","|lc")</f>
        <v/>
      </c>
      <c r="N63" s="11">
        <f>IFERROR(MATCH(M63,Wires!$W$2:$W$1000,0),IFERROR(MATCH(M63,Wires!$X$2:$X$1000,0),""))</f>
        <v/>
      </c>
      <c r="O63" s="11">
        <f>IF(N63="","",IF(ISNUMBER(MATCH(M63,Wires!$W$2:$W$1000,0)),"from","to"))</f>
        <v/>
      </c>
    </row>
    <row r="64">
      <c r="A64" s="9" t="inlineStr">
        <is>
          <t>RASPBERRY J6</t>
        </is>
      </c>
      <c r="B64" s="9" t="inlineStr">
        <is>
          <t>23 -</t>
        </is>
      </c>
      <c r="C64" s="9" t="inlineStr">
        <is>
          <t>Na</t>
        </is>
      </c>
      <c r="D64" s="9" t="n"/>
      <c r="E64" s="9" t="n"/>
      <c r="F64" s="11">
        <f>IF(N64="","",INDEX(Wires!$A$2:$A$1000,N64))</f>
        <v/>
      </c>
      <c r="G64" s="11">
        <f>IF(N64="","",INDEX(Wires!$C$2:$C$1000,N64))</f>
        <v/>
      </c>
      <c r="H64" s="11">
        <f>IF(N64="","",IF(O64="from",INDEX(Wires!$F$2:$F$1000,N64)&amp;":"&amp;INDEX(Wires!$G$2:$G$1000,N64),INDEX(Wires!$D$2:$D$1000,N64)&amp;":"&amp;INDEX(Wires!$E$2:$E$1000,N64)))</f>
        <v/>
      </c>
      <c r="I64" s="11">
        <f>IF(N64="","",INDEX(Wires!$H$2:$H$1000,N64)&amp;"")</f>
        <v/>
      </c>
      <c r="J64" s="11">
        <f>IF(N64="","",IF(INDEX(Wires!$I$2:$I$1000,N64)="","",INDEX(Wires!$I$2:$I$1000,N64)))</f>
        <v/>
      </c>
      <c r="K64" s="11">
        <f>COUNTIF(Wires!$W$2:$W$1000,M64)+COUNTIF(Wires!$X$2:$X$1000,M64)</f>
        <v/>
      </c>
      <c r="L64" s="11">
        <f>IF(AND(K64=0,C64&lt;&gt;"",D64&lt;&gt;"NC"),"pino com sinal mas sem fio; ","")&amp;IF(AND(D64="NC",K64&gt;0),"pino NC com fio; ","")&amp;IF(AND(K64&gt;1,ISERROR(MATCH(IFERROR(INDEX(Connectors!$D$2:$D$1000,MATCH(A64,Connectors!$A$2:$A$1000,0)),""),{"SPLICE","STUD"},0))),"vários fios no mesmo pino; ","")</f>
        <v/>
      </c>
      <c r="M64" s="11">
        <f>A64&amp;":"&amp;B64&amp;IF(EXACT(B64,UPPER(B64)),"","|lc")</f>
        <v/>
      </c>
      <c r="N64" s="11">
        <f>IFERROR(MATCH(M64,Wires!$W$2:$W$1000,0),IFERROR(MATCH(M64,Wires!$X$2:$X$1000,0),""))</f>
        <v/>
      </c>
      <c r="O64" s="11">
        <f>IF(N64="","",IF(ISNUMBER(MATCH(M64,Wires!$W$2:$W$1000,0)),"from","to"))</f>
        <v/>
      </c>
    </row>
    <row r="65">
      <c r="A65" s="9" t="inlineStr">
        <is>
          <t>RASPBERRY J6</t>
        </is>
      </c>
      <c r="B65" s="9" t="inlineStr">
        <is>
          <t>24 -</t>
        </is>
      </c>
      <c r="C65" s="9" t="inlineStr">
        <is>
          <t>Na</t>
        </is>
      </c>
      <c r="D65" s="9" t="n"/>
      <c r="E65" s="9" t="n"/>
      <c r="F65" s="11">
        <f>IF(N65="","",INDEX(Wires!$A$2:$A$1000,N65))</f>
        <v/>
      </c>
      <c r="G65" s="11">
        <f>IF(N65="","",INDEX(Wires!$C$2:$C$1000,N65))</f>
        <v/>
      </c>
      <c r="H65" s="11">
        <f>IF(N65="","",IF(O65="from",INDEX(Wires!$F$2:$F$1000,N65)&amp;":"&amp;INDEX(Wires!$G$2:$G$1000,N65),INDEX(Wires!$D$2:$D$1000,N65)&amp;":"&amp;INDEX(Wires!$E$2:$E$1000,N65)))</f>
        <v/>
      </c>
      <c r="I65" s="11">
        <f>IF(N65="","",INDEX(Wires!$H$2:$H$1000,N65)&amp;"")</f>
        <v/>
      </c>
      <c r="J65" s="11">
        <f>IF(N65="","",IF(INDEX(Wires!$I$2:$I$1000,N65)="","",INDEX(Wires!$I$2:$I$1000,N65)))</f>
        <v/>
      </c>
      <c r="K65" s="11">
        <f>COUNTIF(Wires!$W$2:$W$1000,M65)+COUNTIF(Wires!$X$2:$X$1000,M65)</f>
        <v/>
      </c>
      <c r="L65" s="11">
        <f>IF(AND(K65=0,C65&lt;&gt;"",D65&lt;&gt;"NC"),"pino com sinal mas sem fio; ","")&amp;IF(AND(D65="NC",K65&gt;0),"pino NC com fio; ","")&amp;IF(AND(K65&gt;1,ISERROR(MATCH(IFERROR(INDEX(Connectors!$D$2:$D$1000,MATCH(A65,Connectors!$A$2:$A$1000,0)),""),{"SPLICE","STUD"},0))),"vários fios no mesmo pino; ","")</f>
        <v/>
      </c>
      <c r="M65" s="11">
        <f>A65&amp;":"&amp;B65&amp;IF(EXACT(B65,UPPER(B65)),"","|lc")</f>
        <v/>
      </c>
      <c r="N65" s="11">
        <f>IFERROR(MATCH(M65,Wires!$W$2:$W$1000,0),IFERROR(MATCH(M65,Wires!$X$2:$X$1000,0),""))</f>
        <v/>
      </c>
      <c r="O65" s="11">
        <f>IF(N65="","",IF(ISNUMBER(MATCH(M65,Wires!$W$2:$W$1000,0)),"from","to"))</f>
        <v/>
      </c>
    </row>
    <row r="66">
      <c r="A66" s="9" t="inlineStr">
        <is>
          <t>RASPBERRY J6</t>
        </is>
      </c>
      <c r="B66" s="9" t="inlineStr">
        <is>
          <t>25 - GND</t>
        </is>
      </c>
      <c r="C66" s="9" t="n"/>
      <c r="D66" s="9" t="n"/>
      <c r="E66" s="9" t="n"/>
      <c r="F66" s="11">
        <f>IF(N66="","",INDEX(Wires!$A$2:$A$1000,N66))</f>
        <v/>
      </c>
      <c r="G66" s="11">
        <f>IF(N66="","",INDEX(Wires!$C$2:$C$1000,N66))</f>
        <v/>
      </c>
      <c r="H66" s="11">
        <f>IF(N66="","",IF(O66="from",INDEX(Wires!$F$2:$F$1000,N66)&amp;":"&amp;INDEX(Wires!$G$2:$G$1000,N66),INDEX(Wires!$D$2:$D$1000,N66)&amp;":"&amp;INDEX(Wires!$E$2:$E$1000,N66)))</f>
        <v/>
      </c>
      <c r="I66" s="11">
        <f>IF(N66="","",INDEX(Wires!$H$2:$H$1000,N66)&amp;"")</f>
        <v/>
      </c>
      <c r="J66" s="11">
        <f>IF(N66="","",IF(INDEX(Wires!$I$2:$I$1000,N66)="","",INDEX(Wires!$I$2:$I$1000,N66)))</f>
        <v/>
      </c>
      <c r="K66" s="11">
        <f>COUNTIF(Wires!$W$2:$W$1000,M66)+COUNTIF(Wires!$X$2:$X$1000,M66)</f>
        <v/>
      </c>
      <c r="L66" s="11">
        <f>IF(AND(K66=0,C66&lt;&gt;"",D66&lt;&gt;"NC"),"pino com sinal mas sem fio; ","")&amp;IF(AND(D66="NC",K66&gt;0),"pino NC com fio; ","")&amp;IF(AND(K66&gt;1,ISERROR(MATCH(IFERROR(INDEX(Connectors!$D$2:$D$1000,MATCH(A66,Connectors!$A$2:$A$1000,0)),""),{"SPLICE","STUD"},0))),"vários fios no mesmo pino; ","")</f>
        <v/>
      </c>
      <c r="M66" s="11">
        <f>A66&amp;":"&amp;B66&amp;IF(EXACT(B66,UPPER(B66)),"","|lc")</f>
        <v/>
      </c>
      <c r="N66" s="11">
        <f>IFERROR(MATCH(M66,Wires!$W$2:$W$1000,0),IFERROR(MATCH(M66,Wires!$X$2:$X$1000,0),""))</f>
        <v/>
      </c>
      <c r="O66" s="11">
        <f>IF(N66="","",IF(ISNUMBER(MATCH(M66,Wires!$W$2:$W$1000,0)),"from","to"))</f>
        <v/>
      </c>
    </row>
    <row r="67">
      <c r="A67" s="9" t="inlineStr">
        <is>
          <t>RASPBERRY J6</t>
        </is>
      </c>
      <c r="B67" s="9" t="inlineStr">
        <is>
          <t>26 -</t>
        </is>
      </c>
      <c r="C67" s="9" t="inlineStr">
        <is>
          <t>Na</t>
        </is>
      </c>
      <c r="D67" s="9" t="n"/>
      <c r="E67" s="9" t="n"/>
      <c r="F67" s="11">
        <f>IF(N67="","",INDEX(Wires!$A$2:$A$1000,N67))</f>
        <v/>
      </c>
      <c r="G67" s="11">
        <f>IF(N67="","",INDEX(Wires!$C$2:$C$1000,N67))</f>
        <v/>
      </c>
      <c r="H67" s="11">
        <f>IF(N67="","",IF(O67="from",INDEX(Wires!$F$2:$F$1000,N67)&amp;":"&amp;INDEX(Wires!$G$2:$G$1000,N67),INDEX(Wires!$D$2:$D$1000,N67)&amp;":"&amp;INDEX(Wires!$E$2:$E$1000,N67)))</f>
        <v/>
      </c>
      <c r="I67" s="11">
        <f>IF(N67="","",INDEX(Wires!$H$2:$H$1000,N67)&amp;"")</f>
        <v/>
      </c>
      <c r="J67" s="11">
        <f>IF(N67="","",IF(INDEX(Wires!$I$2:$I$1000,N67)="","",INDEX(Wires!$I$2:$I$1000,N67)))</f>
        <v/>
      </c>
      <c r="K67" s="11">
        <f>COUNTIF(Wires!$W$2:$W$1000,M67)+COUNTIF(Wires!$X$2:$X$1000,M67)</f>
        <v/>
      </c>
      <c r="L67" s="11">
        <f>IF(AND(K67=0,C67&lt;&gt;"",D67&lt;&gt;"NC"),"pino com sinal mas sem fio; ","")&amp;IF(AND(D67="NC",K67&gt;0),"pino NC com fio; ","")&amp;IF(AND(K67&gt;1,ISERROR(MATCH(IFERROR(INDEX(Connectors!$D$2:$D$1000,MATCH(A67,Connectors!$A$2:$A$1000,0)),""),{"SPLICE","STUD"},0))),"vários fios no mesmo pino; ","")</f>
        <v/>
      </c>
      <c r="M67" s="11">
        <f>A67&amp;":"&amp;B67&amp;IF(EXACT(B67,UPPER(B67)),"","|lc")</f>
        <v/>
      </c>
      <c r="N67" s="11">
        <f>IFERROR(MATCH(M67,Wires!$W$2:$W$1000,0),IFERROR(MATCH(M67,Wires!$X$2:$X$1000,0),""))</f>
        <v/>
      </c>
      <c r="O67" s="11">
        <f>IF(N67="","",IF(ISNUMBER(MATCH(M67,Wires!$W$2:$W$1000,0)),"from","to"))</f>
        <v/>
      </c>
    </row>
    <row r="68">
      <c r="A68" s="9" t="inlineStr">
        <is>
          <t>RASPBERRY J6</t>
        </is>
      </c>
      <c r="B68" s="9" t="inlineStr">
        <is>
          <t>27 -</t>
        </is>
      </c>
      <c r="C68" s="9" t="inlineStr">
        <is>
          <t>Na</t>
        </is>
      </c>
      <c r="D68" s="9" t="n"/>
      <c r="E68" s="9" t="n"/>
      <c r="F68" s="11">
        <f>IF(N68="","",INDEX(Wires!$A$2:$A$1000,N68))</f>
        <v/>
      </c>
      <c r="G68" s="11">
        <f>IF(N68="","",INDEX(Wires!$C$2:$C$1000,N68))</f>
        <v/>
      </c>
      <c r="H68" s="11">
        <f>IF(N68="","",IF(O68="from",INDEX(Wires!$F$2:$F$1000,N68)&amp;":"&amp;INDEX(Wires!$G$2:$G$1000,N68),INDEX(Wires!$D$2:$D$1000,N68)&amp;":"&amp;INDEX(Wires!$E$2:$E$1000,N68)))</f>
        <v/>
      </c>
      <c r="I68" s="11">
        <f>IF(N68="","",INDEX(Wires!$H$2:$H$1000,N68)&amp;"")</f>
        <v/>
      </c>
      <c r="J68" s="11">
        <f>IF(N68="","",IF(INDEX(Wires!$I$2:$I$1000,N68)="","",INDEX(Wires!$I$2:$I$1000,N68)))</f>
        <v/>
      </c>
      <c r="K68" s="11">
        <f>COUNTIF(Wires!$W$2:$W$1000,M68)+COUNTIF(Wires!$X$2:$X$1000,M68)</f>
        <v/>
      </c>
      <c r="L68" s="11">
        <f>IF(AND(K68=0,C68&lt;&gt;"",D68&lt;&gt;"NC"),"pino com sinal mas sem fio; ","")&amp;IF(AND(D68="NC",K68&gt;0),"pino NC com fio; ","")&amp;IF(AND(K68&gt;1,ISERROR(MATCH(IFERROR(INDEX(Connectors!$D$2:$D$1000,MATCH(A68,Connectors!$A$2:$A$1000,0)),""),{"SPLICE","STUD"},0))),"vários fios no mesmo pino; ","")</f>
        <v/>
      </c>
      <c r="M68" s="11">
        <f>A68&amp;":"&amp;B68&amp;IF(EXACT(B68,UPPER(B68)),"","|lc")</f>
        <v/>
      </c>
      <c r="N68" s="11">
        <f>IFERROR(MATCH(M68,Wires!$W$2:$W$1000,0),IFERROR(MATCH(M68,Wires!$X$2:$X$1000,0),""))</f>
        <v/>
      </c>
      <c r="O68" s="11">
        <f>IF(N68="","",IF(ISNUMBER(MATCH(M68,Wires!$W$2:$W$1000,0)),"from","to"))</f>
        <v/>
      </c>
    </row>
    <row r="69">
      <c r="A69" s="9" t="inlineStr">
        <is>
          <t>RASPBERRY J6</t>
        </is>
      </c>
      <c r="B69" s="9" t="inlineStr">
        <is>
          <t>28 -</t>
        </is>
      </c>
      <c r="C69" s="9" t="inlineStr">
        <is>
          <t>Na</t>
        </is>
      </c>
      <c r="D69" s="9" t="n"/>
      <c r="E69" s="9" t="n"/>
      <c r="F69" s="11">
        <f>IF(N69="","",INDEX(Wires!$A$2:$A$1000,N69))</f>
        <v/>
      </c>
      <c r="G69" s="11">
        <f>IF(N69="","",INDEX(Wires!$C$2:$C$1000,N69))</f>
        <v/>
      </c>
      <c r="H69" s="11">
        <f>IF(N69="","",IF(O69="from",INDEX(Wires!$F$2:$F$1000,N69)&amp;":"&amp;INDEX(Wires!$G$2:$G$1000,N69),INDEX(Wires!$D$2:$D$1000,N69)&amp;":"&amp;INDEX(Wires!$E$2:$E$1000,N69)))</f>
        <v/>
      </c>
      <c r="I69" s="11">
        <f>IF(N69="","",INDEX(Wires!$H$2:$H$1000,N69)&amp;"")</f>
        <v/>
      </c>
      <c r="J69" s="11">
        <f>IF(N69="","",IF(INDEX(Wires!$I$2:$I$1000,N69)="","",INDEX(Wires!$I$2:$I$1000,N69)))</f>
        <v/>
      </c>
      <c r="K69" s="11">
        <f>COUNTIF(Wires!$W$2:$W$1000,M69)+COUNTIF(Wires!$X$2:$X$1000,M69)</f>
        <v/>
      </c>
      <c r="L69" s="11">
        <f>IF(AND(K69=0,C69&lt;&gt;"",D69&lt;&gt;"NC"),"pino com sinal mas sem fio; ","")&amp;IF(AND(D69="NC",K69&gt;0),"pino NC com fio; ","")&amp;IF(AND(K69&gt;1,ISERROR(MATCH(IFERROR(INDEX(Connectors!$D$2:$D$1000,MATCH(A69,Connectors!$A$2:$A$1000,0)),""),{"SPLICE","STUD"},0))),"vários fios no mesmo pino; ","")</f>
        <v/>
      </c>
      <c r="M69" s="11">
        <f>A69&amp;":"&amp;B69&amp;IF(EXACT(B69,UPPER(B69)),"","|lc")</f>
        <v/>
      </c>
      <c r="N69" s="11">
        <f>IFERROR(MATCH(M69,Wires!$W$2:$W$1000,0),IFERROR(MATCH(M69,Wires!$X$2:$X$1000,0),""))</f>
        <v/>
      </c>
      <c r="O69" s="11">
        <f>IF(N69="","",IF(ISNUMBER(MATCH(M69,Wires!$W$2:$W$1000,0)),"from","to"))</f>
        <v/>
      </c>
    </row>
    <row r="70">
      <c r="A70" s="9" t="inlineStr">
        <is>
          <t>RASPBERRY J6</t>
        </is>
      </c>
      <c r="B70" s="9" t="inlineStr">
        <is>
          <t>29 - GPIO 5</t>
        </is>
      </c>
      <c r="C70" s="9" t="inlineStr">
        <is>
          <t>Encoder A CLK</t>
        </is>
      </c>
      <c r="D70" s="9" t="n"/>
      <c r="E70" s="9" t="inlineStr">
        <is>
          <t>5V</t>
        </is>
      </c>
      <c r="F70" s="11">
        <f>IF(N70="","",INDEX(Wires!$A$2:$A$1000,N70))</f>
        <v/>
      </c>
      <c r="G70" s="11">
        <f>IF(N70="","",INDEX(Wires!$C$2:$C$1000,N70))</f>
        <v/>
      </c>
      <c r="H70" s="11">
        <f>IF(N70="","",IF(O70="from",INDEX(Wires!$F$2:$F$1000,N70)&amp;":"&amp;INDEX(Wires!$G$2:$G$1000,N70),INDEX(Wires!$D$2:$D$1000,N70)&amp;":"&amp;INDEX(Wires!$E$2:$E$1000,N70)))</f>
        <v/>
      </c>
      <c r="I70" s="11">
        <f>IF(N70="","",INDEX(Wires!$H$2:$H$1000,N70)&amp;"")</f>
        <v/>
      </c>
      <c r="J70" s="11">
        <f>IF(N70="","",IF(INDEX(Wires!$I$2:$I$1000,N70)="","",INDEX(Wires!$I$2:$I$1000,N70)))</f>
        <v/>
      </c>
      <c r="K70" s="11">
        <f>COUNTIF(Wires!$W$2:$W$1000,M70)+COUNTIF(Wires!$X$2:$X$1000,M70)</f>
        <v/>
      </c>
      <c r="L70" s="11">
        <f>IF(AND(K70=0,C70&lt;&gt;"",D70&lt;&gt;"NC"),"pino com sinal mas sem fio; ","")&amp;IF(AND(D70="NC",K70&gt;0),"pino NC com fio; ","")&amp;IF(AND(K70&gt;1,ISERROR(MATCH(IFERROR(INDEX(Connectors!$D$2:$D$1000,MATCH(A70,Connectors!$A$2:$A$1000,0)),""),{"SPLICE","STUD"},0))),"vários fios no mesmo pino; ","")</f>
        <v/>
      </c>
      <c r="M70" s="11">
        <f>A70&amp;":"&amp;B70&amp;IF(EXACT(B70,UPPER(B70)),"","|lc")</f>
        <v/>
      </c>
      <c r="N70" s="11">
        <f>IFERROR(MATCH(M70,Wires!$W$2:$W$1000,0),IFERROR(MATCH(M70,Wires!$X$2:$X$1000,0),""))</f>
        <v/>
      </c>
      <c r="O70" s="11">
        <f>IF(N70="","",IF(ISNUMBER(MATCH(M70,Wires!$W$2:$W$1000,0)),"from","to"))</f>
        <v/>
      </c>
    </row>
    <row r="71">
      <c r="A71" s="9" t="inlineStr">
        <is>
          <t>RASPBERRY J6</t>
        </is>
      </c>
      <c r="B71" s="9" t="inlineStr">
        <is>
          <t>30 - GND</t>
        </is>
      </c>
      <c r="C71" s="9" t="inlineStr">
        <is>
          <t>Na</t>
        </is>
      </c>
      <c r="D71" s="9" t="n"/>
      <c r="E71" s="9" t="n"/>
      <c r="F71" s="11">
        <f>IF(N71="","",INDEX(Wires!$A$2:$A$1000,N71))</f>
        <v/>
      </c>
      <c r="G71" s="11">
        <f>IF(N71="","",INDEX(Wires!$C$2:$C$1000,N71))</f>
        <v/>
      </c>
      <c r="H71" s="11">
        <f>IF(N71="","",IF(O71="from",INDEX(Wires!$F$2:$F$1000,N71)&amp;":"&amp;INDEX(Wires!$G$2:$G$1000,N71),INDEX(Wires!$D$2:$D$1000,N71)&amp;":"&amp;INDEX(Wires!$E$2:$E$1000,N71)))</f>
        <v/>
      </c>
      <c r="I71" s="11">
        <f>IF(N71="","",INDEX(Wires!$H$2:$H$1000,N71)&amp;"")</f>
        <v/>
      </c>
      <c r="J71" s="11">
        <f>IF(N71="","",IF(INDEX(Wires!$I$2:$I$1000,N71)="","",INDEX(Wires!$I$2:$I$1000,N71)))</f>
        <v/>
      </c>
      <c r="K71" s="11">
        <f>COUNTIF(Wires!$W$2:$W$1000,M71)+COUNTIF(Wires!$X$2:$X$1000,M71)</f>
        <v/>
      </c>
      <c r="L71" s="11">
        <f>IF(AND(K71=0,C71&lt;&gt;"",D71&lt;&gt;"NC"),"pino com sinal mas sem fio; ","")&amp;IF(AND(D71="NC",K71&gt;0),"pino NC com fio; ","")&amp;IF(AND(K71&gt;1,ISERROR(MATCH(IFERROR(INDEX(Connectors!$D$2:$D$1000,MATCH(A71,Connectors!$A$2:$A$1000,0)),""),{"SPLICE","STUD"},0))),"vários fios no mesmo pino; ","")</f>
        <v/>
      </c>
      <c r="M71" s="11">
        <f>A71&amp;":"&amp;B71&amp;IF(EXACT(B71,UPPER(B71)),"","|lc")</f>
        <v/>
      </c>
      <c r="N71" s="11">
        <f>IFERROR(MATCH(M71,Wires!$W$2:$W$1000,0),IFERROR(MATCH(M71,Wires!$X$2:$X$1000,0),""))</f>
        <v/>
      </c>
      <c r="O71" s="11">
        <f>IF(N71="","",IF(ISNUMBER(MATCH(M71,Wires!$W$2:$W$1000,0)),"from","to"))</f>
        <v/>
      </c>
    </row>
    <row r="72">
      <c r="A72" s="9" t="inlineStr">
        <is>
          <t>RASPBERRY J6</t>
        </is>
      </c>
      <c r="B72" s="9" t="inlineStr">
        <is>
          <t>31 -</t>
        </is>
      </c>
      <c r="C72" s="9" t="inlineStr">
        <is>
          <t>Na</t>
        </is>
      </c>
      <c r="D72" s="9" t="n"/>
      <c r="E72" s="9" t="n"/>
      <c r="F72" s="11">
        <f>IF(N72="","",INDEX(Wires!$A$2:$A$1000,N72))</f>
        <v/>
      </c>
      <c r="G72" s="11">
        <f>IF(N72="","",INDEX(Wires!$C$2:$C$1000,N72))</f>
        <v/>
      </c>
      <c r="H72" s="11">
        <f>IF(N72="","",IF(O72="from",INDEX(Wires!$F$2:$F$1000,N72)&amp;":"&amp;INDEX(Wires!$G$2:$G$1000,N72),INDEX(Wires!$D$2:$D$1000,N72)&amp;":"&amp;INDEX(Wires!$E$2:$E$1000,N72)))</f>
        <v/>
      </c>
      <c r="I72" s="11">
        <f>IF(N72="","",INDEX(Wires!$H$2:$H$1000,N72)&amp;"")</f>
        <v/>
      </c>
      <c r="J72" s="11">
        <f>IF(N72="","",IF(INDEX(Wires!$I$2:$I$1000,N72)="","",INDEX(Wires!$I$2:$I$1000,N72)))</f>
        <v/>
      </c>
      <c r="K72" s="11">
        <f>COUNTIF(Wires!$W$2:$W$1000,M72)+COUNTIF(Wires!$X$2:$X$1000,M72)</f>
        <v/>
      </c>
      <c r="L72" s="11">
        <f>IF(AND(K72=0,C72&lt;&gt;"",D72&lt;&gt;"NC"),"pino com sinal mas sem fio; ","")&amp;IF(AND(D72="NC",K72&gt;0),"pino NC com fio; ","")&amp;IF(AND(K72&gt;1,ISERROR(MATCH(IFERROR(INDEX(Connectors!$D$2:$D$1000,MATCH(A72,Connectors!$A$2:$A$1000,0)),""),{"SPLICE","STUD"},0))),"vários fios no mesmo pino; ","")</f>
        <v/>
      </c>
      <c r="M72" s="11">
        <f>A72&amp;":"&amp;B72&amp;IF(EXACT(B72,UPPER(B72)),"","|lc")</f>
        <v/>
      </c>
      <c r="N72" s="11">
        <f>IFERROR(MATCH(M72,Wires!$W$2:$W$1000,0),IFERROR(MATCH(M72,Wires!$X$2:$X$1000,0),""))</f>
        <v/>
      </c>
      <c r="O72" s="11">
        <f>IF(N72="","",IF(ISNUMBER(MATCH(M72,Wires!$W$2:$W$1000,0)),"from","to"))</f>
        <v/>
      </c>
    </row>
    <row r="73">
      <c r="A73" s="9" t="inlineStr">
        <is>
          <t>RASPBERRY J6</t>
        </is>
      </c>
      <c r="B73" s="9" t="inlineStr">
        <is>
          <t>32 -</t>
        </is>
      </c>
      <c r="C73" s="9" t="inlineStr">
        <is>
          <t>Na</t>
        </is>
      </c>
      <c r="D73" s="9" t="n"/>
      <c r="E73" s="9" t="n"/>
      <c r="F73" s="11">
        <f>IF(N73="","",INDEX(Wires!$A$2:$A$1000,N73))</f>
        <v/>
      </c>
      <c r="G73" s="11">
        <f>IF(N73="","",INDEX(Wires!$C$2:$C$1000,N73))</f>
        <v/>
      </c>
      <c r="H73" s="11">
        <f>IF(N73="","",IF(O73="from",INDEX(Wires!$F$2:$F$1000,N73)&amp;":"&amp;INDEX(Wires!$G$2:$G$1000,N73),INDEX(Wires!$D$2:$D$1000,N73)&amp;":"&amp;INDEX(Wires!$E$2:$E$1000,N73)))</f>
        <v/>
      </c>
      <c r="I73" s="11">
        <f>IF(N73="","",INDEX(Wires!$H$2:$H$1000,N73)&amp;"")</f>
        <v/>
      </c>
      <c r="J73" s="11">
        <f>IF(N73="","",IF(INDEX(Wires!$I$2:$I$1000,N73)="","",INDEX(Wires!$I$2:$I$1000,N73)))</f>
        <v/>
      </c>
      <c r="K73" s="11">
        <f>COUNTIF(Wires!$W$2:$W$1000,M73)+COUNTIF(Wires!$X$2:$X$1000,M73)</f>
        <v/>
      </c>
      <c r="L73" s="11">
        <f>IF(AND(K73=0,C73&lt;&gt;"",D73&lt;&gt;"NC"),"pino com sinal mas sem fio; ","")&amp;IF(AND(D73="NC",K73&gt;0),"pino NC com fio; ","")&amp;IF(AND(K73&gt;1,ISERROR(MATCH(IFERROR(INDEX(Connectors!$D$2:$D$1000,MATCH(A73,Connectors!$A$2:$A$1000,0)),""),{"SPLICE","STUD"},0))),"vários fios no mesmo pino; ","")</f>
        <v/>
      </c>
      <c r="M73" s="11">
        <f>A73&amp;":"&amp;B73&amp;IF(EXACT(B73,UPPER(B73)),"","|lc")</f>
        <v/>
      </c>
      <c r="N73" s="11">
        <f>IFERROR(MATCH(M73,Wires!$W$2:$W$1000,0),IFERROR(MATCH(M73,Wires!$X$2:$X$1000,0),""))</f>
        <v/>
      </c>
      <c r="O73" s="11">
        <f>IF(N73="","",IF(ISNUMBER(MATCH(M73,Wires!$W$2:$W$1000,0)),"from","to"))</f>
        <v/>
      </c>
    </row>
    <row r="74">
      <c r="A74" s="9" t="inlineStr">
        <is>
          <t>RASPBERRY J6</t>
        </is>
      </c>
      <c r="B74" s="9" t="inlineStr">
        <is>
          <t>33 -</t>
        </is>
      </c>
      <c r="C74" s="9" t="inlineStr">
        <is>
          <t>Na</t>
        </is>
      </c>
      <c r="D74" s="9" t="n"/>
      <c r="E74" s="9" t="n"/>
      <c r="F74" s="11">
        <f>IF(N74="","",INDEX(Wires!$A$2:$A$1000,N74))</f>
        <v/>
      </c>
      <c r="G74" s="11">
        <f>IF(N74="","",INDEX(Wires!$C$2:$C$1000,N74))</f>
        <v/>
      </c>
      <c r="H74" s="11">
        <f>IF(N74="","",IF(O74="from",INDEX(Wires!$F$2:$F$1000,N74)&amp;":"&amp;INDEX(Wires!$G$2:$G$1000,N74),INDEX(Wires!$D$2:$D$1000,N74)&amp;":"&amp;INDEX(Wires!$E$2:$E$1000,N74)))</f>
        <v/>
      </c>
      <c r="I74" s="11">
        <f>IF(N74="","",INDEX(Wires!$H$2:$H$1000,N74)&amp;"")</f>
        <v/>
      </c>
      <c r="J74" s="11">
        <f>IF(N74="","",IF(INDEX(Wires!$I$2:$I$1000,N74)="","",INDEX(Wires!$I$2:$I$1000,N74)))</f>
        <v/>
      </c>
      <c r="K74" s="11">
        <f>COUNTIF(Wires!$W$2:$W$1000,M74)+COUNTIF(Wires!$X$2:$X$1000,M74)</f>
        <v/>
      </c>
      <c r="L74" s="11">
        <f>IF(AND(K74=0,C74&lt;&gt;"",D74&lt;&gt;"NC"),"pino com sinal mas sem fio; ","")&amp;IF(AND(D74="NC",K74&gt;0),"pino NC com fio; ","")&amp;IF(AND(K74&gt;1,ISERROR(MATCH(IFERROR(INDEX(Connectors!$D$2:$D$1000,MATCH(A74,Connectors!$A$2:$A$1000,0)),""),{"SPLICE","STUD"},0))),"vários fios no mesmo pino; ","")</f>
        <v/>
      </c>
      <c r="M74" s="11">
        <f>A74&amp;":"&amp;B74&amp;IF(EXACT(B74,UPPER(B74)),"","|lc")</f>
        <v/>
      </c>
      <c r="N74" s="11">
        <f>IFERROR(MATCH(M74,Wires!$W$2:$W$1000,0),IFERROR(MATCH(M74,Wires!$X$2:$X$1000,0),""))</f>
        <v/>
      </c>
      <c r="O74" s="11">
        <f>IF(N74="","",IF(ISNUMBER(MATCH(M74,Wires!$W$2:$W$1000,0)),"from","to"))</f>
        <v/>
      </c>
    </row>
    <row r="75">
      <c r="A75" s="9" t="inlineStr">
        <is>
          <t>RASPBERRY J6</t>
        </is>
      </c>
      <c r="B75" s="9" t="inlineStr">
        <is>
          <t>34 - GND</t>
        </is>
      </c>
      <c r="C75" s="9" t="n"/>
      <c r="D75" s="9" t="n"/>
      <c r="E75" s="9" t="n"/>
      <c r="F75" s="11">
        <f>IF(N75="","",INDEX(Wires!$A$2:$A$1000,N75))</f>
        <v/>
      </c>
      <c r="G75" s="11">
        <f>IF(N75="","",INDEX(Wires!$C$2:$C$1000,N75))</f>
        <v/>
      </c>
      <c r="H75" s="11">
        <f>IF(N75="","",IF(O75="from",INDEX(Wires!$F$2:$F$1000,N75)&amp;":"&amp;INDEX(Wires!$G$2:$G$1000,N75),INDEX(Wires!$D$2:$D$1000,N75)&amp;":"&amp;INDEX(Wires!$E$2:$E$1000,N75)))</f>
        <v/>
      </c>
      <c r="I75" s="11">
        <f>IF(N75="","",INDEX(Wires!$H$2:$H$1000,N75)&amp;"")</f>
        <v/>
      </c>
      <c r="J75" s="11">
        <f>IF(N75="","",IF(INDEX(Wires!$I$2:$I$1000,N75)="","",INDEX(Wires!$I$2:$I$1000,N75)))</f>
        <v/>
      </c>
      <c r="K75" s="11">
        <f>COUNTIF(Wires!$W$2:$W$1000,M75)+COUNTIF(Wires!$X$2:$X$1000,M75)</f>
        <v/>
      </c>
      <c r="L75" s="11">
        <f>IF(AND(K75=0,C75&lt;&gt;"",D75&lt;&gt;"NC"),"pino com sinal mas sem fio; ","")&amp;IF(AND(D75="NC",K75&gt;0),"pino NC com fio; ","")&amp;IF(AND(K75&gt;1,ISERROR(MATCH(IFERROR(INDEX(Connectors!$D$2:$D$1000,MATCH(A75,Connectors!$A$2:$A$1000,0)),""),{"SPLICE","STUD"},0))),"vários fios no mesmo pino; ","")</f>
        <v/>
      </c>
      <c r="M75" s="11">
        <f>A75&amp;":"&amp;B75&amp;IF(EXACT(B75,UPPER(B75)),"","|lc")</f>
        <v/>
      </c>
      <c r="N75" s="11">
        <f>IFERROR(MATCH(M75,Wires!$W$2:$W$1000,0),IFERROR(MATCH(M75,Wires!$X$2:$X$1000,0),""))</f>
        <v/>
      </c>
      <c r="O75" s="11">
        <f>IF(N75="","",IF(ISNUMBER(MATCH(M75,Wires!$W$2:$W$1000,0)),"from","to"))</f>
        <v/>
      </c>
    </row>
    <row r="76">
      <c r="A76" s="9" t="inlineStr">
        <is>
          <t>RASPBERRY J6</t>
        </is>
      </c>
      <c r="B76" s="9" t="inlineStr">
        <is>
          <t>35 -</t>
        </is>
      </c>
      <c r="C76" s="9" t="inlineStr">
        <is>
          <t>Na</t>
        </is>
      </c>
      <c r="D76" s="9" t="n"/>
      <c r="E76" s="9" t="n"/>
      <c r="F76" s="11">
        <f>IF(N76="","",INDEX(Wires!$A$2:$A$1000,N76))</f>
        <v/>
      </c>
      <c r="G76" s="11">
        <f>IF(N76="","",INDEX(Wires!$C$2:$C$1000,N76))</f>
        <v/>
      </c>
      <c r="H76" s="11">
        <f>IF(N76="","",IF(O76="from",INDEX(Wires!$F$2:$F$1000,N76)&amp;":"&amp;INDEX(Wires!$G$2:$G$1000,N76),INDEX(Wires!$D$2:$D$1000,N76)&amp;":"&amp;INDEX(Wires!$E$2:$E$1000,N76)))</f>
        <v/>
      </c>
      <c r="I76" s="11">
        <f>IF(N76="","",INDEX(Wires!$H$2:$H$1000,N76)&amp;"")</f>
        <v/>
      </c>
      <c r="J76" s="11">
        <f>IF(N76="","",IF(INDEX(Wires!$I$2:$I$1000,N76)="","",INDEX(Wires!$I$2:$I$1000,N76)))</f>
        <v/>
      </c>
      <c r="K76" s="11">
        <f>COUNTIF(Wires!$W$2:$W$1000,M76)+COUNTIF(Wires!$X$2:$X$1000,M76)</f>
        <v/>
      </c>
      <c r="L76" s="11">
        <f>IF(AND(K76=0,C76&lt;&gt;"",D76&lt;&gt;"NC"),"pino com sinal mas sem fio; ","")&amp;IF(AND(D76="NC",K76&gt;0),"pino NC com fio; ","")&amp;IF(AND(K76&gt;1,ISERROR(MATCH(IFERROR(INDEX(Connectors!$D$2:$D$1000,MATCH(A76,Connectors!$A$2:$A$1000,0)),""),{"SPLICE","STUD"},0))),"vários fios no mesmo pino; ","")</f>
        <v/>
      </c>
      <c r="M76" s="11">
        <f>A76&amp;":"&amp;B76&amp;IF(EXACT(B76,UPPER(B76)),"","|lc")</f>
        <v/>
      </c>
      <c r="N76" s="11">
        <f>IFERROR(MATCH(M76,Wires!$W$2:$W$1000,0),IFERROR(MATCH(M76,Wires!$X$2:$X$1000,0),""))</f>
        <v/>
      </c>
      <c r="O76" s="11">
        <f>IF(N76="","",IF(ISNUMBER(MATCH(M76,Wires!$W$2:$W$1000,0)),"from","to"))</f>
        <v/>
      </c>
    </row>
    <row r="77">
      <c r="A77" s="9" t="inlineStr">
        <is>
          <t>RASPBERRY J6</t>
        </is>
      </c>
      <c r="B77" s="9" t="inlineStr">
        <is>
          <t>36 -</t>
        </is>
      </c>
      <c r="C77" s="9" t="inlineStr">
        <is>
          <t>Na</t>
        </is>
      </c>
      <c r="D77" s="9" t="n"/>
      <c r="E77" s="9" t="n"/>
      <c r="F77" s="11">
        <f>IF(N77="","",INDEX(Wires!$A$2:$A$1000,N77))</f>
        <v/>
      </c>
      <c r="G77" s="11">
        <f>IF(N77="","",INDEX(Wires!$C$2:$C$1000,N77))</f>
        <v/>
      </c>
      <c r="H77" s="11">
        <f>IF(N77="","",IF(O77="from",INDEX(Wires!$F$2:$F$1000,N77)&amp;":"&amp;INDEX(Wires!$G$2:$G$1000,N77),INDEX(Wires!$D$2:$D$1000,N77)&amp;":"&amp;INDEX(Wires!$E$2:$E$1000,N77)))</f>
        <v/>
      </c>
      <c r="I77" s="11">
        <f>IF(N77="","",INDEX(Wires!$H$2:$H$1000,N77)&amp;"")</f>
        <v/>
      </c>
      <c r="J77" s="11">
        <f>IF(N77="","",IF(INDEX(Wires!$I$2:$I$1000,N77)="","",INDEX(Wires!$I$2:$I$1000,N77)))</f>
        <v/>
      </c>
      <c r="K77" s="11">
        <f>COUNTIF(Wires!$W$2:$W$1000,M77)+COUNTIF(Wires!$X$2:$X$1000,M77)</f>
        <v/>
      </c>
      <c r="L77" s="11">
        <f>IF(AND(K77=0,C77&lt;&gt;"",D77&lt;&gt;"NC"),"pino com sinal mas sem fio; ","")&amp;IF(AND(D77="NC",K77&gt;0),"pino NC com fio; ","")&amp;IF(AND(K77&gt;1,ISERROR(MATCH(IFERROR(INDEX(Connectors!$D$2:$D$1000,MATCH(A77,Connectors!$A$2:$A$1000,0)),""),{"SPLICE","STUD"},0))),"vários fios no mesmo pino; ","")</f>
        <v/>
      </c>
      <c r="M77" s="11">
        <f>A77&amp;":"&amp;B77&amp;IF(EXACT(B77,UPPER(B77)),"","|lc")</f>
        <v/>
      </c>
      <c r="N77" s="11">
        <f>IFERROR(MATCH(M77,Wires!$W$2:$W$1000,0),IFERROR(MATCH(M77,Wires!$X$2:$X$1000,0),""))</f>
        <v/>
      </c>
      <c r="O77" s="11">
        <f>IF(N77="","",IF(ISNUMBER(MATCH(M77,Wires!$W$2:$W$1000,0)),"from","to"))</f>
        <v/>
      </c>
    </row>
    <row r="78">
      <c r="A78" s="9" t="inlineStr">
        <is>
          <t>RASPBERRY J6</t>
        </is>
      </c>
      <c r="B78" s="9" t="inlineStr">
        <is>
          <t>37 -</t>
        </is>
      </c>
      <c r="C78" s="9" t="inlineStr">
        <is>
          <t>Na</t>
        </is>
      </c>
      <c r="D78" s="9" t="n"/>
      <c r="E78" s="9" t="n"/>
      <c r="F78" s="11">
        <f>IF(N78="","",INDEX(Wires!$A$2:$A$1000,N78))</f>
        <v/>
      </c>
      <c r="G78" s="11">
        <f>IF(N78="","",INDEX(Wires!$C$2:$C$1000,N78))</f>
        <v/>
      </c>
      <c r="H78" s="11">
        <f>IF(N78="","",IF(O78="from",INDEX(Wires!$F$2:$F$1000,N78)&amp;":"&amp;INDEX(Wires!$G$2:$G$1000,N78),INDEX(Wires!$D$2:$D$1000,N78)&amp;":"&amp;INDEX(Wires!$E$2:$E$1000,N78)))</f>
        <v/>
      </c>
      <c r="I78" s="11">
        <f>IF(N78="","",INDEX(Wires!$H$2:$H$1000,N78)&amp;"")</f>
        <v/>
      </c>
      <c r="J78" s="11">
        <f>IF(N78="","",IF(INDEX(Wires!$I$2:$I$1000,N78)="","",INDEX(Wires!$I$2:$I$1000,N78)))</f>
        <v/>
      </c>
      <c r="K78" s="11">
        <f>COUNTIF(Wires!$W$2:$W$1000,M78)+COUNTIF(Wires!$X$2:$X$1000,M78)</f>
        <v/>
      </c>
      <c r="L78" s="11">
        <f>IF(AND(K78=0,C78&lt;&gt;"",D78&lt;&gt;"NC"),"pino com sinal mas sem fio; ","")&amp;IF(AND(D78="NC",K78&gt;0),"pino NC com fio; ","")&amp;IF(AND(K78&gt;1,ISERROR(MATCH(IFERROR(INDEX(Connectors!$D$2:$D$1000,MATCH(A78,Connectors!$A$2:$A$1000,0)),""),{"SPLICE","STUD"},0))),"vários fios no mesmo pino; ","")</f>
        <v/>
      </c>
      <c r="M78" s="11">
        <f>A78&amp;":"&amp;B78&amp;IF(EXACT(B78,UPPER(B78)),"","|lc")</f>
        <v/>
      </c>
      <c r="N78" s="11">
        <f>IFERROR(MATCH(M78,Wires!$W$2:$W$1000,0),IFERROR(MATCH(M78,Wires!$X$2:$X$1000,0),""))</f>
        <v/>
      </c>
      <c r="O78" s="11">
        <f>IF(N78="","",IF(ISNUMBER(MATCH(M78,Wires!$W$2:$W$1000,0)),"from","to"))</f>
        <v/>
      </c>
    </row>
    <row r="79">
      <c r="A79" s="9" t="inlineStr">
        <is>
          <t>RASPBERRY J6</t>
        </is>
      </c>
      <c r="B79" s="9" t="inlineStr">
        <is>
          <t>38 -</t>
        </is>
      </c>
      <c r="C79" s="9" t="inlineStr">
        <is>
          <t>Na</t>
        </is>
      </c>
      <c r="D79" s="9" t="n"/>
      <c r="E79" s="9" t="n"/>
      <c r="F79" s="11">
        <f>IF(N79="","",INDEX(Wires!$A$2:$A$1000,N79))</f>
        <v/>
      </c>
      <c r="G79" s="11">
        <f>IF(N79="","",INDEX(Wires!$C$2:$C$1000,N79))</f>
        <v/>
      </c>
      <c r="H79" s="11">
        <f>IF(N79="","",IF(O79="from",INDEX(Wires!$F$2:$F$1000,N79)&amp;":"&amp;INDEX(Wires!$G$2:$G$1000,N79),INDEX(Wires!$D$2:$D$1000,N79)&amp;":"&amp;INDEX(Wires!$E$2:$E$1000,N79)))</f>
        <v/>
      </c>
      <c r="I79" s="11">
        <f>IF(N79="","",INDEX(Wires!$H$2:$H$1000,N79)&amp;"")</f>
        <v/>
      </c>
      <c r="J79" s="11">
        <f>IF(N79="","",IF(INDEX(Wires!$I$2:$I$1000,N79)="","",INDEX(Wires!$I$2:$I$1000,N79)))</f>
        <v/>
      </c>
      <c r="K79" s="11">
        <f>COUNTIF(Wires!$W$2:$W$1000,M79)+COUNTIF(Wires!$X$2:$X$1000,M79)</f>
        <v/>
      </c>
      <c r="L79" s="11">
        <f>IF(AND(K79=0,C79&lt;&gt;"",D79&lt;&gt;"NC"),"pino com sinal mas sem fio; ","")&amp;IF(AND(D79="NC",K79&gt;0),"pino NC com fio; ","")&amp;IF(AND(K79&gt;1,ISERROR(MATCH(IFERROR(INDEX(Connectors!$D$2:$D$1000,MATCH(A79,Connectors!$A$2:$A$1000,0)),""),{"SPLICE","STUD"},0))),"vários fios no mesmo pino; ","")</f>
        <v/>
      </c>
      <c r="M79" s="11">
        <f>A79&amp;":"&amp;B79&amp;IF(EXACT(B79,UPPER(B79)),"","|lc")</f>
        <v/>
      </c>
      <c r="N79" s="11">
        <f>IFERROR(MATCH(M79,Wires!$W$2:$W$1000,0),IFERROR(MATCH(M79,Wires!$X$2:$X$1000,0),""))</f>
        <v/>
      </c>
      <c r="O79" s="11">
        <f>IF(N79="","",IF(ISNUMBER(MATCH(M79,Wires!$W$2:$W$1000,0)),"from","to"))</f>
        <v/>
      </c>
    </row>
    <row r="80">
      <c r="A80" s="9" t="inlineStr">
        <is>
          <t>RASPBERRY J6</t>
        </is>
      </c>
      <c r="B80" s="9" t="inlineStr">
        <is>
          <t>39 - GND</t>
        </is>
      </c>
      <c r="C80" s="9" t="n"/>
      <c r="D80" s="9" t="n"/>
      <c r="E80" s="9" t="n"/>
      <c r="F80" s="11">
        <f>IF(N80="","",INDEX(Wires!$A$2:$A$1000,N80))</f>
        <v/>
      </c>
      <c r="G80" s="11">
        <f>IF(N80="","",INDEX(Wires!$C$2:$C$1000,N80))</f>
        <v/>
      </c>
      <c r="H80" s="11">
        <f>IF(N80="","",IF(O80="from",INDEX(Wires!$F$2:$F$1000,N80)&amp;":"&amp;INDEX(Wires!$G$2:$G$1000,N80),INDEX(Wires!$D$2:$D$1000,N80)&amp;":"&amp;INDEX(Wires!$E$2:$E$1000,N80)))</f>
        <v/>
      </c>
      <c r="I80" s="11">
        <f>IF(N80="","",INDEX(Wires!$H$2:$H$1000,N80)&amp;"")</f>
        <v/>
      </c>
      <c r="J80" s="11">
        <f>IF(N80="","",IF(INDEX(Wires!$I$2:$I$1000,N80)="","",INDEX(Wires!$I$2:$I$1000,N80)))</f>
        <v/>
      </c>
      <c r="K80" s="11">
        <f>COUNTIF(Wires!$W$2:$W$1000,M80)+COUNTIF(Wires!$X$2:$X$1000,M80)</f>
        <v/>
      </c>
      <c r="L80" s="11">
        <f>IF(AND(K80=0,C80&lt;&gt;"",D80&lt;&gt;"NC"),"pino com sinal mas sem fio; ","")&amp;IF(AND(D80="NC",K80&gt;0),"pino NC com fio; ","")&amp;IF(AND(K80&gt;1,ISERROR(MATCH(IFERROR(INDEX(Connectors!$D$2:$D$1000,MATCH(A80,Connectors!$A$2:$A$1000,0)),""),{"SPLICE","STUD"},0))),"vários fios no mesmo pino; ","")</f>
        <v/>
      </c>
      <c r="M80" s="11">
        <f>A80&amp;":"&amp;B80&amp;IF(EXACT(B80,UPPER(B80)),"","|lc")</f>
        <v/>
      </c>
      <c r="N80" s="11">
        <f>IFERROR(MATCH(M80,Wires!$W$2:$W$1000,0),IFERROR(MATCH(M80,Wires!$X$2:$X$1000,0),""))</f>
        <v/>
      </c>
      <c r="O80" s="11">
        <f>IF(N80="","",IF(ISNUMBER(MATCH(M80,Wires!$W$2:$W$1000,0)),"from","to"))</f>
        <v/>
      </c>
    </row>
    <row r="81">
      <c r="A81" s="9" t="inlineStr">
        <is>
          <t>RASPBERRY J6</t>
        </is>
      </c>
      <c r="B81" s="9" t="inlineStr">
        <is>
          <t>40 -</t>
        </is>
      </c>
      <c r="C81" s="9" t="inlineStr">
        <is>
          <t>Na</t>
        </is>
      </c>
      <c r="D81" s="9" t="n"/>
      <c r="E81" s="9" t="n"/>
      <c r="F81" s="11">
        <f>IF(N81="","",INDEX(Wires!$A$2:$A$1000,N81))</f>
        <v/>
      </c>
      <c r="G81" s="11">
        <f>IF(N81="","",INDEX(Wires!$C$2:$C$1000,N81))</f>
        <v/>
      </c>
      <c r="H81" s="11">
        <f>IF(N81="","",IF(O81="from",INDEX(Wires!$F$2:$F$1000,N81)&amp;":"&amp;INDEX(Wires!$G$2:$G$1000,N81),INDEX(Wires!$D$2:$D$1000,N81)&amp;":"&amp;INDEX(Wires!$E$2:$E$1000,N81)))</f>
        <v/>
      </c>
      <c r="I81" s="11">
        <f>IF(N81="","",INDEX(Wires!$H$2:$H$1000,N81)&amp;"")</f>
        <v/>
      </c>
      <c r="J81" s="11">
        <f>IF(N81="","",IF(INDEX(Wires!$I$2:$I$1000,N81)="","",INDEX(Wires!$I$2:$I$1000,N81)))</f>
        <v/>
      </c>
      <c r="K81" s="11">
        <f>COUNTIF(Wires!$W$2:$W$1000,M81)+COUNTIF(Wires!$X$2:$X$1000,M81)</f>
        <v/>
      </c>
      <c r="L81" s="11">
        <f>IF(AND(K81=0,C81&lt;&gt;"",D81&lt;&gt;"NC"),"pino com sinal mas sem fio; ","")&amp;IF(AND(D81="NC",K81&gt;0),"pino NC com fio; ","")&amp;IF(AND(K81&gt;1,ISERROR(MATCH(IFERROR(INDEX(Connectors!$D$2:$D$1000,MATCH(A81,Connectors!$A$2:$A$1000,0)),""),{"SPLICE","STUD"},0))),"vários fios no mesmo pino; ","")</f>
        <v/>
      </c>
      <c r="M81" s="11">
        <f>A81&amp;":"&amp;B81&amp;IF(EXACT(B81,UPPER(B81)),"","|lc")</f>
        <v/>
      </c>
      <c r="N81" s="11">
        <f>IFERROR(MATCH(M81,Wires!$W$2:$W$1000,0),IFERROR(MATCH(M81,Wires!$X$2:$X$1000,0),""))</f>
        <v/>
      </c>
      <c r="O81" s="11">
        <f>IF(N81="","",IF(ISNUMBER(MATCH(M81,Wires!$W$2:$W$1000,0)),"from","to"))</f>
        <v/>
      </c>
    </row>
    <row r="82">
      <c r="A82" s="9" t="inlineStr">
        <is>
          <t>LCD</t>
        </is>
      </c>
      <c r="B82" s="9" t="inlineStr">
        <is>
          <t>1</t>
        </is>
      </c>
      <c r="C82" s="9" t="inlineStr">
        <is>
          <t>Power_LCD</t>
        </is>
      </c>
      <c r="D82" s="9" t="inlineStr">
        <is>
          <t>IN</t>
        </is>
      </c>
      <c r="E82" s="9" t="n"/>
      <c r="F82" s="11">
        <f>IF(N82="","",INDEX(Wires!$A$2:$A$1000,N82))</f>
        <v/>
      </c>
      <c r="G82" s="11">
        <f>IF(N82="","",INDEX(Wires!$C$2:$C$1000,N82))</f>
        <v/>
      </c>
      <c r="H82" s="11">
        <f>IF(N82="","",IF(O82="from",INDEX(Wires!$F$2:$F$1000,N82)&amp;":"&amp;INDEX(Wires!$G$2:$G$1000,N82),INDEX(Wires!$D$2:$D$1000,N82)&amp;":"&amp;INDEX(Wires!$E$2:$E$1000,N82)))</f>
        <v/>
      </c>
      <c r="I82" s="11">
        <f>IF(N82="","",INDEX(Wires!$H$2:$H$1000,N82)&amp;"")</f>
        <v/>
      </c>
      <c r="J82" s="11">
        <f>IF(N82="","",IF(INDEX(Wires!$I$2:$I$1000,N82)="","",INDEX(Wires!$I$2:$I$1000,N82)))</f>
        <v/>
      </c>
      <c r="K82" s="11">
        <f>COUNTIF(Wires!$W$2:$W$1000,M82)+COUNTIF(Wires!$X$2:$X$1000,M82)</f>
        <v/>
      </c>
      <c r="L82" s="11">
        <f>IF(AND(K82=0,C82&lt;&gt;"",D82&lt;&gt;"NC"),"pino com sinal mas sem fio; ","")&amp;IF(AND(D82="NC",K82&gt;0),"pino NC com fio; ","")&amp;IF(AND(K82&gt;1,ISERROR(MATCH(IFERROR(INDEX(Connectors!$D$2:$D$1000,MATCH(A82,Connectors!$A$2:$A$1000,0)),""),{"SPLICE","STUD"},0))),"vários fios no mesmo pino; ","")</f>
        <v/>
      </c>
      <c r="M82" s="11">
        <f>A82&amp;":"&amp;B82&amp;IF(EXACT(B82,UPPER(B82)),"","|lc")</f>
        <v/>
      </c>
      <c r="N82" s="11">
        <f>IFERROR(MATCH(M82,Wires!$W$2:$W$1000,0),IFERROR(MATCH(M82,Wires!$X$2:$X$1000,0),""))</f>
        <v/>
      </c>
      <c r="O82" s="11">
        <f>IF(N82="","",IF(ISNUMBER(MATCH(M82,Wires!$W$2:$W$1000,0)),"from","to"))</f>
        <v/>
      </c>
    </row>
    <row r="83">
      <c r="A83" s="9" t="inlineStr">
        <is>
          <t>LCD</t>
        </is>
      </c>
      <c r="B83" s="9" t="inlineStr">
        <is>
          <t>2</t>
        </is>
      </c>
      <c r="C83" s="9" t="inlineStr">
        <is>
          <t>HDMI</t>
        </is>
      </c>
      <c r="D83" s="9" t="inlineStr">
        <is>
          <t>HDMI</t>
        </is>
      </c>
      <c r="E83" s="9" t="n"/>
      <c r="F83" s="11">
        <f>IF(N83="","",INDEX(Wires!$A$2:$A$1000,N83))</f>
        <v/>
      </c>
      <c r="G83" s="11">
        <f>IF(N83="","",INDEX(Wires!$C$2:$C$1000,N83))</f>
        <v/>
      </c>
      <c r="H83" s="11">
        <f>IF(N83="","",IF(O83="from",INDEX(Wires!$F$2:$F$1000,N83)&amp;":"&amp;INDEX(Wires!$G$2:$G$1000,N83),INDEX(Wires!$D$2:$D$1000,N83)&amp;":"&amp;INDEX(Wires!$E$2:$E$1000,N83)))</f>
        <v/>
      </c>
      <c r="I83" s="11">
        <f>IF(N83="","",INDEX(Wires!$H$2:$H$1000,N83)&amp;"")</f>
        <v/>
      </c>
      <c r="J83" s="11">
        <f>IF(N83="","",IF(INDEX(Wires!$I$2:$I$1000,N83)="","",INDEX(Wires!$I$2:$I$1000,N83)))</f>
        <v/>
      </c>
      <c r="K83" s="11">
        <f>COUNTIF(Wires!$W$2:$W$1000,M83)+COUNTIF(Wires!$X$2:$X$1000,M83)</f>
        <v/>
      </c>
      <c r="L83" s="11">
        <f>IF(AND(K83=0,C83&lt;&gt;"",D83&lt;&gt;"NC"),"pino com sinal mas sem fio; ","")&amp;IF(AND(D83="NC",K83&gt;0),"pino NC com fio; ","")&amp;IF(AND(K83&gt;1,ISERROR(MATCH(IFERROR(INDEX(Connectors!$D$2:$D$1000,MATCH(A83,Connectors!$A$2:$A$1000,0)),""),{"SPLICE","STUD"},0))),"vários fios no mesmo pino; ","")</f>
        <v/>
      </c>
      <c r="M83" s="11">
        <f>A83&amp;":"&amp;B83&amp;IF(EXACT(B83,UPPER(B83)),"","|lc")</f>
        <v/>
      </c>
      <c r="N83" s="11">
        <f>IFERROR(MATCH(M83,Wires!$W$2:$W$1000,0),IFERROR(MATCH(M83,Wires!$X$2:$X$1000,0),""))</f>
        <v/>
      </c>
      <c r="O83" s="11">
        <f>IF(N83="","",IF(ISNUMBER(MATCH(M83,Wires!$W$2:$W$1000,0)),"from","to"))</f>
        <v/>
      </c>
    </row>
    <row r="84">
      <c r="A84" s="9" t="inlineStr">
        <is>
          <t>EMERGENCY J1</t>
        </is>
      </c>
      <c r="B84" s="9" t="inlineStr">
        <is>
          <t>1</t>
        </is>
      </c>
      <c r="C84" s="9" t="inlineStr">
        <is>
          <t>Shutdown In</t>
        </is>
      </c>
      <c r="D84" s="9" t="inlineStr">
        <is>
          <t>IN</t>
        </is>
      </c>
      <c r="E84" s="9" t="inlineStr">
        <is>
          <t>24V</t>
        </is>
      </c>
      <c r="F84" s="11">
        <f>IF(N84="","",INDEX(Wires!$A$2:$A$1000,N84))</f>
        <v/>
      </c>
      <c r="G84" s="11">
        <f>IF(N84="","",INDEX(Wires!$C$2:$C$1000,N84))</f>
        <v/>
      </c>
      <c r="H84" s="11">
        <f>IF(N84="","",IF(O84="from",INDEX(Wires!$F$2:$F$1000,N84)&amp;":"&amp;INDEX(Wires!$G$2:$G$1000,N84),INDEX(Wires!$D$2:$D$1000,N84)&amp;":"&amp;INDEX(Wires!$E$2:$E$1000,N84)))</f>
        <v/>
      </c>
      <c r="I84" s="11">
        <f>IF(N84="","",INDEX(Wires!$H$2:$H$1000,N84)&amp;"")</f>
        <v/>
      </c>
      <c r="J84" s="11">
        <f>IF(N84="","",IF(INDEX(Wires!$I$2:$I$1000,N84)="","",INDEX(Wires!$I$2:$I$1000,N84)))</f>
        <v/>
      </c>
      <c r="K84" s="11">
        <f>COUNTIF(Wires!$W$2:$W$1000,M84)+COUNTIF(Wires!$X$2:$X$1000,M84)</f>
        <v/>
      </c>
      <c r="L84" s="11">
        <f>IF(AND(K84=0,C84&lt;&gt;"",D84&lt;&gt;"NC"),"pino com sinal mas sem fio; ","")&amp;IF(AND(D84="NC",K84&gt;0),"pino NC com fio; ","")&amp;IF(AND(K84&gt;1,ISERROR(MATCH(IFERROR(INDEX(Connectors!$D$2:$D$1000,MATCH(A84,Connectors!$A$2:$A$1000,0)),""),{"SPLICE","STUD"},0))),"vários fios no mesmo pino; ","")</f>
        <v/>
      </c>
      <c r="M84" s="11">
        <f>A84&amp;":"&amp;B84&amp;IF(EXACT(B84,UPPER(B84)),"","|lc")</f>
        <v/>
      </c>
      <c r="N84" s="11">
        <f>IFERROR(MATCH(M84,Wires!$W$2:$W$1000,0),IFERROR(MATCH(M84,Wires!$X$2:$X$1000,0),""))</f>
        <v/>
      </c>
      <c r="O84" s="11">
        <f>IF(N84="","",IF(ISNUMBER(MATCH(M84,Wires!$W$2:$W$1000,0)),"from","to"))</f>
        <v/>
      </c>
    </row>
    <row r="85">
      <c r="A85" s="9" t="inlineStr">
        <is>
          <t>EMERGENCY J1</t>
        </is>
      </c>
      <c r="B85" s="9" t="inlineStr">
        <is>
          <t>2</t>
        </is>
      </c>
      <c r="C85" s="9" t="inlineStr">
        <is>
          <t>Shutdown Out</t>
        </is>
      </c>
      <c r="D85" s="9" t="inlineStr">
        <is>
          <t>OUT</t>
        </is>
      </c>
      <c r="E85" s="9" t="inlineStr">
        <is>
          <t>24V</t>
        </is>
      </c>
      <c r="F85" s="11">
        <f>IF(N85="","",INDEX(Wires!$A$2:$A$1000,N85))</f>
        <v/>
      </c>
      <c r="G85" s="11">
        <f>IF(N85="","",INDEX(Wires!$C$2:$C$1000,N85))</f>
        <v/>
      </c>
      <c r="H85" s="11">
        <f>IF(N85="","",IF(O85="from",INDEX(Wires!$F$2:$F$1000,N85)&amp;":"&amp;INDEX(Wires!$G$2:$G$1000,N85),INDEX(Wires!$D$2:$D$1000,N85)&amp;":"&amp;INDEX(Wires!$E$2:$E$1000,N85)))</f>
        <v/>
      </c>
      <c r="I85" s="11">
        <f>IF(N85="","",INDEX(Wires!$H$2:$H$1000,N85)&amp;"")</f>
        <v/>
      </c>
      <c r="J85" s="11">
        <f>IF(N85="","",IF(INDEX(Wires!$I$2:$I$1000,N85)="","",INDEX(Wires!$I$2:$I$1000,N85)))</f>
        <v/>
      </c>
      <c r="K85" s="11">
        <f>COUNTIF(Wires!$W$2:$W$1000,M85)+COUNTIF(Wires!$X$2:$X$1000,M85)</f>
        <v/>
      </c>
      <c r="L85" s="11">
        <f>IF(AND(K85=0,C85&lt;&gt;"",D85&lt;&gt;"NC"),"pino com sinal mas sem fio; ","")&amp;IF(AND(D85="NC",K85&gt;0),"pino NC com fio; ","")&amp;IF(AND(K85&gt;1,ISERROR(MATCH(IFERROR(INDEX(Connectors!$D$2:$D$1000,MATCH(A85,Connectors!$A$2:$A$1000,0)),""),{"SPLICE","STUD"},0))),"vários fios no mesmo pino; ","")</f>
        <v/>
      </c>
      <c r="M85" s="11">
        <f>A85&amp;":"&amp;B85&amp;IF(EXACT(B85,UPPER(B85)),"","|lc")</f>
        <v/>
      </c>
      <c r="N85" s="11">
        <f>IFERROR(MATCH(M85,Wires!$W$2:$W$1000,0),IFERROR(MATCH(M85,Wires!$X$2:$X$1000,0),""))</f>
        <v/>
      </c>
      <c r="O85" s="11">
        <f>IF(N85="","",IF(ISNUMBER(MATCH(M85,Wires!$W$2:$W$1000,0)),"from","to"))</f>
        <v/>
      </c>
    </row>
    <row r="86">
      <c r="A86" s="9" t="inlineStr">
        <is>
          <t>IGNITION J1</t>
        </is>
      </c>
      <c r="B86" s="9" t="inlineStr">
        <is>
          <t>1</t>
        </is>
      </c>
      <c r="C86" s="9" t="inlineStr">
        <is>
          <t>Ignition_Supply</t>
        </is>
      </c>
      <c r="D86" s="9" t="inlineStr">
        <is>
          <t>IN</t>
        </is>
      </c>
      <c r="E86" s="9" t="inlineStr">
        <is>
          <t>24V</t>
        </is>
      </c>
      <c r="F86" s="11">
        <f>IF(N86="","",INDEX(Wires!$A$2:$A$1000,N86))</f>
        <v/>
      </c>
      <c r="G86" s="11">
        <f>IF(N86="","",INDEX(Wires!$C$2:$C$1000,N86))</f>
        <v/>
      </c>
      <c r="H86" s="11">
        <f>IF(N86="","",IF(O86="from",INDEX(Wires!$F$2:$F$1000,N86)&amp;":"&amp;INDEX(Wires!$G$2:$G$1000,N86),INDEX(Wires!$D$2:$D$1000,N86)&amp;":"&amp;INDEX(Wires!$E$2:$E$1000,N86)))</f>
        <v/>
      </c>
      <c r="I86" s="11">
        <f>IF(N86="","",INDEX(Wires!$H$2:$H$1000,N86)&amp;"")</f>
        <v/>
      </c>
      <c r="J86" s="11">
        <f>IF(N86="","",IF(INDEX(Wires!$I$2:$I$1000,N86)="","",INDEX(Wires!$I$2:$I$1000,N86)))</f>
        <v/>
      </c>
      <c r="K86" s="11">
        <f>COUNTIF(Wires!$W$2:$W$1000,M86)+COUNTIF(Wires!$X$2:$X$1000,M86)</f>
        <v/>
      </c>
      <c r="L86" s="11">
        <f>IF(AND(K86=0,C86&lt;&gt;"",D86&lt;&gt;"NC"),"pino com sinal mas sem fio; ","")&amp;IF(AND(D86="NC",K86&gt;0),"pino NC com fio; ","")&amp;IF(AND(K86&gt;1,ISERROR(MATCH(IFERROR(INDEX(Connectors!$D$2:$D$1000,MATCH(A86,Connectors!$A$2:$A$1000,0)),""),{"SPLICE","STUD"},0))),"vários fios no mesmo pino; ","")</f>
        <v/>
      </c>
      <c r="M86" s="11">
        <f>A86&amp;":"&amp;B86&amp;IF(EXACT(B86,UPPER(B86)),"","|lc")</f>
        <v/>
      </c>
      <c r="N86" s="11">
        <f>IFERROR(MATCH(M86,Wires!$W$2:$W$1000,0),IFERROR(MATCH(M86,Wires!$X$2:$X$1000,0),""))</f>
        <v/>
      </c>
      <c r="O86" s="11">
        <f>IF(N86="","",IF(ISNUMBER(MATCH(M86,Wires!$W$2:$W$1000,0)),"from","to"))</f>
        <v/>
      </c>
    </row>
    <row r="87">
      <c r="A87" s="9" t="inlineStr">
        <is>
          <t>IGNITION J1</t>
        </is>
      </c>
      <c r="B87" s="9" t="inlineStr">
        <is>
          <t>2</t>
        </is>
      </c>
      <c r="C87" s="9" t="inlineStr">
        <is>
          <t>Ignition Signal</t>
        </is>
      </c>
      <c r="D87" s="9" t="inlineStr">
        <is>
          <t>OUT</t>
        </is>
      </c>
      <c r="E87" s="9" t="inlineStr">
        <is>
          <t>24V</t>
        </is>
      </c>
      <c r="F87" s="11">
        <f>IF(N87="","",INDEX(Wires!$A$2:$A$1000,N87))</f>
        <v/>
      </c>
      <c r="G87" s="11">
        <f>IF(N87="","",INDEX(Wires!$C$2:$C$1000,N87))</f>
        <v/>
      </c>
      <c r="H87" s="11">
        <f>IF(N87="","",IF(O87="from",INDEX(Wires!$F$2:$F$1000,N87)&amp;":"&amp;INDEX(Wires!$G$2:$G$1000,N87),INDEX(Wires!$D$2:$D$1000,N87)&amp;":"&amp;INDEX(Wires!$E$2:$E$1000,N87)))</f>
        <v/>
      </c>
      <c r="I87" s="11">
        <f>IF(N87="","",INDEX(Wires!$H$2:$H$1000,N87)&amp;"")</f>
        <v/>
      </c>
      <c r="J87" s="11">
        <f>IF(N87="","",IF(INDEX(Wires!$I$2:$I$1000,N87)="","",INDEX(Wires!$I$2:$I$1000,N87)))</f>
        <v/>
      </c>
      <c r="K87" s="11">
        <f>COUNTIF(Wires!$W$2:$W$1000,M87)+COUNTIF(Wires!$X$2:$X$1000,M87)</f>
        <v/>
      </c>
      <c r="L87" s="11">
        <f>IF(AND(K87=0,C87&lt;&gt;"",D87&lt;&gt;"NC"),"pino com sinal mas sem fio; ","")&amp;IF(AND(D87="NC",K87&gt;0),"pino NC com fio; ","")&amp;IF(AND(K87&gt;1,ISERROR(MATCH(IFERROR(INDEX(Connectors!$D$2:$D$1000,MATCH(A87,Connectors!$A$2:$A$1000,0)),""),{"SPLICE","STUD"},0))),"vários fios no mesmo pino; ","")</f>
        <v/>
      </c>
      <c r="M87" s="11">
        <f>A87&amp;":"&amp;B87&amp;IF(EXACT(B87,UPPER(B87)),"","|lc")</f>
        <v/>
      </c>
      <c r="N87" s="11">
        <f>IFERROR(MATCH(M87,Wires!$W$2:$W$1000,0),IFERROR(MATCH(M87,Wires!$X$2:$X$1000,0),""))</f>
        <v/>
      </c>
      <c r="O87" s="11">
        <f>IF(N87="","",IF(ISNUMBER(MATCH(M87,Wires!$W$2:$W$1000,0)),"from","to"))</f>
        <v/>
      </c>
    </row>
    <row r="88">
      <c r="A88" s="9" t="inlineStr">
        <is>
          <t>R2D J1</t>
        </is>
      </c>
      <c r="B88" s="9" t="inlineStr">
        <is>
          <t>1</t>
        </is>
      </c>
      <c r="C88" s="9" t="inlineStr">
        <is>
          <t>R2D-Supply</t>
        </is>
      </c>
      <c r="D88" s="9" t="inlineStr">
        <is>
          <t>IN</t>
        </is>
      </c>
      <c r="E88" s="9" t="inlineStr">
        <is>
          <t>24V</t>
        </is>
      </c>
      <c r="F88" s="11">
        <f>IF(N88="","",INDEX(Wires!$A$2:$A$1000,N88))</f>
        <v/>
      </c>
      <c r="G88" s="11">
        <f>IF(N88="","",INDEX(Wires!$C$2:$C$1000,N88))</f>
        <v/>
      </c>
      <c r="H88" s="11">
        <f>IF(N88="","",IF(O88="from",INDEX(Wires!$F$2:$F$1000,N88)&amp;":"&amp;INDEX(Wires!$G$2:$G$1000,N88),INDEX(Wires!$D$2:$D$1000,N88)&amp;":"&amp;INDEX(Wires!$E$2:$E$1000,N88)))</f>
        <v/>
      </c>
      <c r="I88" s="11">
        <f>IF(N88="","",INDEX(Wires!$H$2:$H$1000,N88)&amp;"")</f>
        <v/>
      </c>
      <c r="J88" s="11">
        <f>IF(N88="","",IF(INDEX(Wires!$I$2:$I$1000,N88)="","",INDEX(Wires!$I$2:$I$1000,N88)))</f>
        <v/>
      </c>
      <c r="K88" s="11">
        <f>COUNTIF(Wires!$W$2:$W$1000,M88)+COUNTIF(Wires!$X$2:$X$1000,M88)</f>
        <v/>
      </c>
      <c r="L88" s="11">
        <f>IF(AND(K88=0,C88&lt;&gt;"",D88&lt;&gt;"NC"),"pino com sinal mas sem fio; ","")&amp;IF(AND(D88="NC",K88&gt;0),"pino NC com fio; ","")&amp;IF(AND(K88&gt;1,ISERROR(MATCH(IFERROR(INDEX(Connectors!$D$2:$D$1000,MATCH(A88,Connectors!$A$2:$A$1000,0)),""),{"SPLICE","STUD"},0))),"vários fios no mesmo pino; ","")</f>
        <v/>
      </c>
      <c r="M88" s="11">
        <f>A88&amp;":"&amp;B88&amp;IF(EXACT(B88,UPPER(B88)),"","|lc")</f>
        <v/>
      </c>
      <c r="N88" s="11">
        <f>IFERROR(MATCH(M88,Wires!$W$2:$W$1000,0),IFERROR(MATCH(M88,Wires!$X$2:$X$1000,0),""))</f>
        <v/>
      </c>
      <c r="O88" s="11">
        <f>IF(N88="","",IF(ISNUMBER(MATCH(M88,Wires!$W$2:$W$1000,0)),"from","to"))</f>
        <v/>
      </c>
    </row>
    <row r="89">
      <c r="A89" s="9" t="inlineStr">
        <is>
          <t>R2D J1</t>
        </is>
      </c>
      <c r="B89" s="9" t="inlineStr">
        <is>
          <t>2</t>
        </is>
      </c>
      <c r="C89" s="9" t="inlineStr">
        <is>
          <t>Ready to Drive Signal</t>
        </is>
      </c>
      <c r="D89" s="9" t="inlineStr">
        <is>
          <t>OUT</t>
        </is>
      </c>
      <c r="E89" s="9" t="inlineStr">
        <is>
          <t>24V</t>
        </is>
      </c>
      <c r="F89" s="11">
        <f>IF(N89="","",INDEX(Wires!$A$2:$A$1000,N89))</f>
        <v/>
      </c>
      <c r="G89" s="11">
        <f>IF(N89="","",INDEX(Wires!$C$2:$C$1000,N89))</f>
        <v/>
      </c>
      <c r="H89" s="11">
        <f>IF(N89="","",IF(O89="from",INDEX(Wires!$F$2:$F$1000,N89)&amp;":"&amp;INDEX(Wires!$G$2:$G$1000,N89),INDEX(Wires!$D$2:$D$1000,N89)&amp;":"&amp;INDEX(Wires!$E$2:$E$1000,N89)))</f>
        <v/>
      </c>
      <c r="I89" s="11">
        <f>IF(N89="","",INDEX(Wires!$H$2:$H$1000,N89)&amp;"")</f>
        <v/>
      </c>
      <c r="J89" s="11">
        <f>IF(N89="","",IF(INDEX(Wires!$I$2:$I$1000,N89)="","",INDEX(Wires!$I$2:$I$1000,N89)))</f>
        <v/>
      </c>
      <c r="K89" s="11">
        <f>COUNTIF(Wires!$W$2:$W$1000,M89)+COUNTIF(Wires!$X$2:$X$1000,M89)</f>
        <v/>
      </c>
      <c r="L89" s="11">
        <f>IF(AND(K89=0,C89&lt;&gt;"",D89&lt;&gt;"NC"),"pino com sinal mas sem fio; ","")&amp;IF(AND(D89="NC",K89&gt;0),"pino NC com fio; ","")&amp;IF(AND(K89&gt;1,ISERROR(MATCH(IFERROR(INDEX(Connectors!$D$2:$D$1000,MATCH(A89,Connectors!$A$2:$A$1000,0)),""),{"SPLICE","STUD"},0))),"vários fios no mesmo pino; ","")</f>
        <v/>
      </c>
      <c r="M89" s="11">
        <f>A89&amp;":"&amp;B89&amp;IF(EXACT(B89,UPPER(B89)),"","|lc")</f>
        <v/>
      </c>
      <c r="N89" s="11">
        <f>IFERROR(MATCH(M89,Wires!$W$2:$W$1000,0),IFERROR(MATCH(M89,Wires!$X$2:$X$1000,0),""))</f>
        <v/>
      </c>
      <c r="O89" s="11">
        <f>IF(N89="","",IF(ISNUMBER(MATCH(M89,Wires!$W$2:$W$1000,0)),"from","to"))</f>
        <v/>
      </c>
    </row>
    <row r="90">
      <c r="A90" s="9" t="inlineStr">
        <is>
          <t>R2D J1</t>
        </is>
      </c>
      <c r="B90" s="9" t="inlineStr">
        <is>
          <t>3</t>
        </is>
      </c>
      <c r="C90" s="9" t="inlineStr">
        <is>
          <t>LED R2D Supply</t>
        </is>
      </c>
      <c r="D90" s="9" t="inlineStr">
        <is>
          <t>IN</t>
        </is>
      </c>
      <c r="E90" s="9" t="inlineStr">
        <is>
          <t>24V</t>
        </is>
      </c>
      <c r="F90" s="11">
        <f>IF(N90="","",INDEX(Wires!$A$2:$A$1000,N90))</f>
        <v/>
      </c>
      <c r="G90" s="11">
        <f>IF(N90="","",INDEX(Wires!$C$2:$C$1000,N90))</f>
        <v/>
      </c>
      <c r="H90" s="11">
        <f>IF(N90="","",IF(O90="from",INDEX(Wires!$F$2:$F$1000,N90)&amp;":"&amp;INDEX(Wires!$G$2:$G$1000,N90),INDEX(Wires!$D$2:$D$1000,N90)&amp;":"&amp;INDEX(Wires!$E$2:$E$1000,N90)))</f>
        <v/>
      </c>
      <c r="I90" s="11">
        <f>IF(N90="","",INDEX(Wires!$H$2:$H$1000,N90)&amp;"")</f>
        <v/>
      </c>
      <c r="J90" s="11">
        <f>IF(N90="","",IF(INDEX(Wires!$I$2:$I$1000,N90)="","",INDEX(Wires!$I$2:$I$1000,N90)))</f>
        <v/>
      </c>
      <c r="K90" s="11">
        <f>COUNTIF(Wires!$W$2:$W$1000,M90)+COUNTIF(Wires!$X$2:$X$1000,M90)</f>
        <v/>
      </c>
      <c r="L90" s="11">
        <f>IF(AND(K90=0,C90&lt;&gt;"",D90&lt;&gt;"NC"),"pino com sinal mas sem fio; ","")&amp;IF(AND(D90="NC",K90&gt;0),"pino NC com fio; ","")&amp;IF(AND(K90&gt;1,ISERROR(MATCH(IFERROR(INDEX(Connectors!$D$2:$D$1000,MATCH(A90,Connectors!$A$2:$A$1000,0)),""),{"SPLICE","STUD"},0))),"vários fios no mesmo pino; ","")</f>
        <v/>
      </c>
      <c r="M90" s="11">
        <f>A90&amp;":"&amp;B90&amp;IF(EXACT(B90,UPPER(B90)),"","|lc")</f>
        <v/>
      </c>
      <c r="N90" s="11">
        <f>IFERROR(MATCH(M90,Wires!$W$2:$W$1000,0),IFERROR(MATCH(M90,Wires!$X$2:$X$1000,0),""))</f>
        <v/>
      </c>
      <c r="O90" s="11">
        <f>IF(N90="","",IF(ISNUMBER(MATCH(M90,Wires!$W$2:$W$1000,0)),"from","to"))</f>
        <v/>
      </c>
    </row>
    <row r="91">
      <c r="A91" s="9" t="inlineStr">
        <is>
          <t>R2D J1</t>
        </is>
      </c>
      <c r="B91" s="9" t="inlineStr">
        <is>
          <t>4</t>
        </is>
      </c>
      <c r="C91" s="9" t="inlineStr">
        <is>
          <t>LED R2D Signal</t>
        </is>
      </c>
      <c r="D91" s="9" t="inlineStr">
        <is>
          <t>OUT</t>
        </is>
      </c>
      <c r="E91" s="9" t="inlineStr">
        <is>
          <t>0V</t>
        </is>
      </c>
      <c r="F91" s="11">
        <f>IF(N91="","",INDEX(Wires!$A$2:$A$1000,N91))</f>
        <v/>
      </c>
      <c r="G91" s="11">
        <f>IF(N91="","",INDEX(Wires!$C$2:$C$1000,N91))</f>
        <v/>
      </c>
      <c r="H91" s="11">
        <f>IF(N91="","",IF(O91="from",INDEX(Wires!$F$2:$F$1000,N91)&amp;":"&amp;INDEX(Wires!$G$2:$G$1000,N91),INDEX(Wires!$D$2:$D$1000,N91)&amp;":"&amp;INDEX(Wires!$E$2:$E$1000,N91)))</f>
        <v/>
      </c>
      <c r="I91" s="11">
        <f>IF(N91="","",INDEX(Wires!$H$2:$H$1000,N91)&amp;"")</f>
        <v/>
      </c>
      <c r="J91" s="11">
        <f>IF(N91="","",IF(INDEX(Wires!$I$2:$I$1000,N91)="","",INDEX(Wires!$I$2:$I$1000,N91)))</f>
        <v/>
      </c>
      <c r="K91" s="11">
        <f>COUNTIF(Wires!$W$2:$W$1000,M91)+COUNTIF(Wires!$X$2:$X$1000,M91)</f>
        <v/>
      </c>
      <c r="L91" s="11">
        <f>IF(AND(K91=0,C91&lt;&gt;"",D91&lt;&gt;"NC"),"pino com sinal mas sem fio; ","")&amp;IF(AND(D91="NC",K91&gt;0),"pino NC com fio; ","")&amp;IF(AND(K91&gt;1,ISERROR(MATCH(IFERROR(INDEX(Connectors!$D$2:$D$1000,MATCH(A91,Connectors!$A$2:$A$1000,0)),""),{"SPLICE","STUD"},0))),"vários fios no mesmo pino; ","")</f>
        <v/>
      </c>
      <c r="M91" s="11">
        <f>A91&amp;":"&amp;B91&amp;IF(EXACT(B91,UPPER(B91)),"","|lc")</f>
        <v/>
      </c>
      <c r="N91" s="11">
        <f>IFERROR(MATCH(M91,Wires!$W$2:$W$1000,0),IFERROR(MATCH(M91,Wires!$X$2:$X$1000,0),""))</f>
        <v/>
      </c>
      <c r="O91" s="11">
        <f>IF(N91="","",IF(ISNUMBER(MATCH(M91,Wires!$W$2:$W$1000,0)),"from","to"))</f>
        <v/>
      </c>
    </row>
    <row r="92">
      <c r="A92" s="9" t="inlineStr">
        <is>
          <t>RASPBERRY RESET J1</t>
        </is>
      </c>
      <c r="B92" s="9" t="inlineStr">
        <is>
          <t>1</t>
        </is>
      </c>
      <c r="C92" s="9" t="n"/>
      <c r="D92" s="9" t="n"/>
      <c r="E92" s="9" t="n"/>
      <c r="F92" s="11">
        <f>IF(N92="","",INDEX(Wires!$A$2:$A$1000,N92))</f>
        <v/>
      </c>
      <c r="G92" s="11">
        <f>IF(N92="","",INDEX(Wires!$C$2:$C$1000,N92))</f>
        <v/>
      </c>
      <c r="H92" s="11">
        <f>IF(N92="","",IF(O92="from",INDEX(Wires!$F$2:$F$1000,N92)&amp;":"&amp;INDEX(Wires!$G$2:$G$1000,N92),INDEX(Wires!$D$2:$D$1000,N92)&amp;":"&amp;INDEX(Wires!$E$2:$E$1000,N92)))</f>
        <v/>
      </c>
      <c r="I92" s="11">
        <f>IF(N92="","",INDEX(Wires!$H$2:$H$1000,N92)&amp;"")</f>
        <v/>
      </c>
      <c r="J92" s="11">
        <f>IF(N92="","",IF(INDEX(Wires!$I$2:$I$1000,N92)="","",INDEX(Wires!$I$2:$I$1000,N92)))</f>
        <v/>
      </c>
      <c r="K92" s="11">
        <f>COUNTIF(Wires!$W$2:$W$1000,M92)+COUNTIF(Wires!$X$2:$X$1000,M92)</f>
        <v/>
      </c>
      <c r="L92" s="11">
        <f>IF(AND(K92=0,C92&lt;&gt;"",D92&lt;&gt;"NC"),"pino com sinal mas sem fio; ","")&amp;IF(AND(D92="NC",K92&gt;0),"pino NC com fio; ","")&amp;IF(AND(K92&gt;1,ISERROR(MATCH(IFERROR(INDEX(Connectors!$D$2:$D$1000,MATCH(A92,Connectors!$A$2:$A$1000,0)),""),{"SPLICE","STUD"},0))),"vários fios no mesmo pino; ","")</f>
        <v/>
      </c>
      <c r="M92" s="11">
        <f>A92&amp;":"&amp;B92&amp;IF(EXACT(B92,UPPER(B92)),"","|lc")</f>
        <v/>
      </c>
      <c r="N92" s="11">
        <f>IFERROR(MATCH(M92,Wires!$W$2:$W$1000,0),IFERROR(MATCH(M92,Wires!$X$2:$X$1000,0),""))</f>
        <v/>
      </c>
      <c r="O92" s="11">
        <f>IF(N92="","",IF(ISNUMBER(MATCH(M92,Wires!$W$2:$W$1000,0)),"from","to"))</f>
        <v/>
      </c>
    </row>
    <row r="93">
      <c r="A93" s="9" t="inlineStr">
        <is>
          <t>RASPBERRY RESET J1</t>
        </is>
      </c>
      <c r="B93" s="9" t="inlineStr">
        <is>
          <t>2</t>
        </is>
      </c>
      <c r="C93" s="9" t="n"/>
      <c r="D93" s="9" t="n"/>
      <c r="E93" s="9" t="n"/>
      <c r="F93" s="11">
        <f>IF(N93="","",INDEX(Wires!$A$2:$A$1000,N93))</f>
        <v/>
      </c>
      <c r="G93" s="11">
        <f>IF(N93="","",INDEX(Wires!$C$2:$C$1000,N93))</f>
        <v/>
      </c>
      <c r="H93" s="11">
        <f>IF(N93="","",IF(O93="from",INDEX(Wires!$F$2:$F$1000,N93)&amp;":"&amp;INDEX(Wires!$G$2:$G$1000,N93),INDEX(Wires!$D$2:$D$1000,N93)&amp;":"&amp;INDEX(Wires!$E$2:$E$1000,N93)))</f>
        <v/>
      </c>
      <c r="I93" s="11">
        <f>IF(N93="","",INDEX(Wires!$H$2:$H$1000,N93)&amp;"")</f>
        <v/>
      </c>
      <c r="J93" s="11">
        <f>IF(N93="","",IF(INDEX(Wires!$I$2:$I$1000,N93)="","",INDEX(Wires!$I$2:$I$1000,N93)))</f>
        <v/>
      </c>
      <c r="K93" s="11">
        <f>COUNTIF(Wires!$W$2:$W$1000,M93)+COUNTIF(Wires!$X$2:$X$1000,M93)</f>
        <v/>
      </c>
      <c r="L93" s="11">
        <f>IF(AND(K93=0,C93&lt;&gt;"",D93&lt;&gt;"NC"),"pino com sinal mas sem fio; ","")&amp;IF(AND(D93="NC",K93&gt;0),"pino NC com fio; ","")&amp;IF(AND(K93&gt;1,ISERROR(MATCH(IFERROR(INDEX(Connectors!$D$2:$D$1000,MATCH(A93,Connectors!$A$2:$A$1000,0)),""),{"SPLICE","STUD"},0))),"vários fios no mesmo pino; ","")</f>
        <v/>
      </c>
      <c r="M93" s="11">
        <f>A93&amp;":"&amp;B93&amp;IF(EXACT(B93,UPPER(B93)),"","|lc")</f>
        <v/>
      </c>
      <c r="N93" s="11">
        <f>IFERROR(MATCH(M93,Wires!$W$2:$W$1000,0),IFERROR(MATCH(M93,Wires!$X$2:$X$1000,0),""))</f>
        <v/>
      </c>
      <c r="O93" s="11">
        <f>IF(N93="","",IF(ISNUMBER(MATCH(M93,Wires!$W$2:$W$1000,0)),"from","to"))</f>
        <v/>
      </c>
    </row>
    <row r="94">
      <c r="A94" s="9" t="inlineStr">
        <is>
          <t>LED STRIP J1</t>
        </is>
      </c>
      <c r="B94" s="9" t="inlineStr">
        <is>
          <t>1</t>
        </is>
      </c>
      <c r="C94" s="9" t="inlineStr">
        <is>
          <t>LED_STRIP_Power</t>
        </is>
      </c>
      <c r="D94" s="9" t="inlineStr">
        <is>
          <t>IN</t>
        </is>
      </c>
      <c r="E94" s="9" t="inlineStr">
        <is>
          <t>5V</t>
        </is>
      </c>
      <c r="F94" s="11">
        <f>IF(N94="","",INDEX(Wires!$A$2:$A$1000,N94))</f>
        <v/>
      </c>
      <c r="G94" s="11">
        <f>IF(N94="","",INDEX(Wires!$C$2:$C$1000,N94))</f>
        <v/>
      </c>
      <c r="H94" s="11">
        <f>IF(N94="","",IF(O94="from",INDEX(Wires!$F$2:$F$1000,N94)&amp;":"&amp;INDEX(Wires!$G$2:$G$1000,N94),INDEX(Wires!$D$2:$D$1000,N94)&amp;":"&amp;INDEX(Wires!$E$2:$E$1000,N94)))</f>
        <v/>
      </c>
      <c r="I94" s="11">
        <f>IF(N94="","",INDEX(Wires!$H$2:$H$1000,N94)&amp;"")</f>
        <v/>
      </c>
      <c r="J94" s="11">
        <f>IF(N94="","",IF(INDEX(Wires!$I$2:$I$1000,N94)="","",INDEX(Wires!$I$2:$I$1000,N94)))</f>
        <v/>
      </c>
      <c r="K94" s="11">
        <f>COUNTIF(Wires!$W$2:$W$1000,M94)+COUNTIF(Wires!$X$2:$X$1000,M94)</f>
        <v/>
      </c>
      <c r="L94" s="11">
        <f>IF(AND(K94=0,C94&lt;&gt;"",D94&lt;&gt;"NC"),"pino com sinal mas sem fio; ","")&amp;IF(AND(D94="NC",K94&gt;0),"pino NC com fio; ","")&amp;IF(AND(K94&gt;1,ISERROR(MATCH(IFERROR(INDEX(Connectors!$D$2:$D$1000,MATCH(A94,Connectors!$A$2:$A$1000,0)),""),{"SPLICE","STUD"},0))),"vários fios no mesmo pino; ","")</f>
        <v/>
      </c>
      <c r="M94" s="11">
        <f>A94&amp;":"&amp;B94&amp;IF(EXACT(B94,UPPER(B94)),"","|lc")</f>
        <v/>
      </c>
      <c r="N94" s="11">
        <f>IFERROR(MATCH(M94,Wires!$W$2:$W$1000,0),IFERROR(MATCH(M94,Wires!$X$2:$X$1000,0),""))</f>
        <v/>
      </c>
      <c r="O94" s="11">
        <f>IF(N94="","",IF(ISNUMBER(MATCH(M94,Wires!$W$2:$W$1000,0)),"from","to"))</f>
        <v/>
      </c>
    </row>
    <row r="95">
      <c r="A95" s="9" t="inlineStr">
        <is>
          <t>LED STRIP J1</t>
        </is>
      </c>
      <c r="B95" s="9" t="inlineStr">
        <is>
          <t>2</t>
        </is>
      </c>
      <c r="C95" s="9" t="inlineStr">
        <is>
          <t>LED_STRIP_Data</t>
        </is>
      </c>
      <c r="D95" s="9" t="inlineStr">
        <is>
          <t>IN</t>
        </is>
      </c>
      <c r="E95" s="9" t="inlineStr">
        <is>
          <t>3.3V</t>
        </is>
      </c>
      <c r="F95" s="11">
        <f>IF(N95="","",INDEX(Wires!$A$2:$A$1000,N95))</f>
        <v/>
      </c>
      <c r="G95" s="11">
        <f>IF(N95="","",INDEX(Wires!$C$2:$C$1000,N95))</f>
        <v/>
      </c>
      <c r="H95" s="11">
        <f>IF(N95="","",IF(O95="from",INDEX(Wires!$F$2:$F$1000,N95)&amp;":"&amp;INDEX(Wires!$G$2:$G$1000,N95),INDEX(Wires!$D$2:$D$1000,N95)&amp;":"&amp;INDEX(Wires!$E$2:$E$1000,N95)))</f>
        <v/>
      </c>
      <c r="I95" s="11">
        <f>IF(N95="","",INDEX(Wires!$H$2:$H$1000,N95)&amp;"")</f>
        <v/>
      </c>
      <c r="J95" s="11">
        <f>IF(N95="","",IF(INDEX(Wires!$I$2:$I$1000,N95)="","",INDEX(Wires!$I$2:$I$1000,N95)))</f>
        <v/>
      </c>
      <c r="K95" s="11">
        <f>COUNTIF(Wires!$W$2:$W$1000,M95)+COUNTIF(Wires!$X$2:$X$1000,M95)</f>
        <v/>
      </c>
      <c r="L95" s="11">
        <f>IF(AND(K95=0,C95&lt;&gt;"",D95&lt;&gt;"NC"),"pino com sinal mas sem fio; ","")&amp;IF(AND(D95="NC",K95&gt;0),"pino NC com fio; ","")&amp;IF(AND(K95&gt;1,ISERROR(MATCH(IFERROR(INDEX(Connectors!$D$2:$D$1000,MATCH(A95,Connectors!$A$2:$A$1000,0)),""),{"SPLICE","STUD"},0))),"vários fios no mesmo pino; ","")</f>
        <v/>
      </c>
      <c r="M95" s="11">
        <f>A95&amp;":"&amp;B95&amp;IF(EXACT(B95,UPPER(B95)),"","|lc")</f>
        <v/>
      </c>
      <c r="N95" s="11">
        <f>IFERROR(MATCH(M95,Wires!$W$2:$W$1000,0),IFERROR(MATCH(M95,Wires!$X$2:$X$1000,0),""))</f>
        <v/>
      </c>
      <c r="O95" s="11">
        <f>IF(N95="","",IF(ISNUMBER(MATCH(M95,Wires!$W$2:$W$1000,0)),"from","to"))</f>
        <v/>
      </c>
    </row>
    <row r="96">
      <c r="A96" s="9" t="inlineStr">
        <is>
          <t>LED STRIP J1</t>
        </is>
      </c>
      <c r="B96" s="9" t="inlineStr">
        <is>
          <t>3</t>
        </is>
      </c>
      <c r="C96" s="9" t="inlineStr">
        <is>
          <t>LED_STRIP_GND</t>
        </is>
      </c>
      <c r="D96" s="9" t="inlineStr">
        <is>
          <t>IN</t>
        </is>
      </c>
      <c r="E96" s="9" t="inlineStr">
        <is>
          <t>0V</t>
        </is>
      </c>
      <c r="F96" s="11">
        <f>IF(N96="","",INDEX(Wires!$A$2:$A$1000,N96))</f>
        <v/>
      </c>
      <c r="G96" s="11">
        <f>IF(N96="","",INDEX(Wires!$C$2:$C$1000,N96))</f>
        <v/>
      </c>
      <c r="H96" s="11">
        <f>IF(N96="","",IF(O96="from",INDEX(Wires!$F$2:$F$1000,N96)&amp;":"&amp;INDEX(Wires!$G$2:$G$1000,N96),INDEX(Wires!$D$2:$D$1000,N96)&amp;":"&amp;INDEX(Wires!$E$2:$E$1000,N96)))</f>
        <v/>
      </c>
      <c r="I96" s="11">
        <f>IF(N96="","",INDEX(Wires!$H$2:$H$1000,N96)&amp;"")</f>
        <v/>
      </c>
      <c r="J96" s="11">
        <f>IF(N96="","",IF(INDEX(Wires!$I$2:$I$1000,N96)="","",INDEX(Wires!$I$2:$I$1000,N96)))</f>
        <v/>
      </c>
      <c r="K96" s="11">
        <f>COUNTIF(Wires!$W$2:$W$1000,M96)+COUNTIF(Wires!$X$2:$X$1000,M96)</f>
        <v/>
      </c>
      <c r="L96" s="11">
        <f>IF(AND(K96=0,C96&lt;&gt;"",D96&lt;&gt;"NC"),"pino com sinal mas sem fio; ","")&amp;IF(AND(D96="NC",K96&gt;0),"pino NC com fio; ","")&amp;IF(AND(K96&gt;1,ISERROR(MATCH(IFERROR(INDEX(Connectors!$D$2:$D$1000,MATCH(A96,Connectors!$A$2:$A$1000,0)),""),{"SPLICE","STUD"},0))),"vários fios no mesmo pino; ","")</f>
        <v/>
      </c>
      <c r="M96" s="11">
        <f>A96&amp;":"&amp;B96&amp;IF(EXACT(B96,UPPER(B96)),"","|lc")</f>
        <v/>
      </c>
      <c r="N96" s="11">
        <f>IFERROR(MATCH(M96,Wires!$W$2:$W$1000,0),IFERROR(MATCH(M96,Wires!$X$2:$X$1000,0),""))</f>
        <v/>
      </c>
      <c r="O96" s="11">
        <f>IF(N96="","",IF(ISNUMBER(MATCH(M96,Wires!$W$2:$W$1000,0)),"from","to"))</f>
        <v/>
      </c>
    </row>
    <row r="97">
      <c r="A97" s="9" t="inlineStr">
        <is>
          <t>AMS LED J1</t>
        </is>
      </c>
      <c r="B97" s="9" t="inlineStr">
        <is>
          <t>1</t>
        </is>
      </c>
      <c r="C97" s="9" t="inlineStr">
        <is>
          <t>AMS_LED_Supply</t>
        </is>
      </c>
      <c r="D97" s="9" t="inlineStr">
        <is>
          <t>IN</t>
        </is>
      </c>
      <c r="E97" s="9" t="inlineStr">
        <is>
          <t>24V</t>
        </is>
      </c>
      <c r="F97" s="11">
        <f>IF(N97="","",INDEX(Wires!$A$2:$A$1000,N97))</f>
        <v/>
      </c>
      <c r="G97" s="11">
        <f>IF(N97="","",INDEX(Wires!$C$2:$C$1000,N97))</f>
        <v/>
      </c>
      <c r="H97" s="11">
        <f>IF(N97="","",IF(O97="from",INDEX(Wires!$F$2:$F$1000,N97)&amp;":"&amp;INDEX(Wires!$G$2:$G$1000,N97),INDEX(Wires!$D$2:$D$1000,N97)&amp;":"&amp;INDEX(Wires!$E$2:$E$1000,N97)))</f>
        <v/>
      </c>
      <c r="I97" s="11">
        <f>IF(N97="","",INDEX(Wires!$H$2:$H$1000,N97)&amp;"")</f>
        <v/>
      </c>
      <c r="J97" s="11">
        <f>IF(N97="","",IF(INDEX(Wires!$I$2:$I$1000,N97)="","",INDEX(Wires!$I$2:$I$1000,N97)))</f>
        <v/>
      </c>
      <c r="K97" s="11">
        <f>COUNTIF(Wires!$W$2:$W$1000,M97)+COUNTIF(Wires!$X$2:$X$1000,M97)</f>
        <v/>
      </c>
      <c r="L97" s="11">
        <f>IF(AND(K97=0,C97&lt;&gt;"",D97&lt;&gt;"NC"),"pino com sinal mas sem fio; ","")&amp;IF(AND(D97="NC",K97&gt;0),"pino NC com fio; ","")&amp;IF(AND(K97&gt;1,ISERROR(MATCH(IFERROR(INDEX(Connectors!$D$2:$D$1000,MATCH(A97,Connectors!$A$2:$A$1000,0)),""),{"SPLICE","STUD"},0))),"vários fios no mesmo pino; ","")</f>
        <v/>
      </c>
      <c r="M97" s="11">
        <f>A97&amp;":"&amp;B97&amp;IF(EXACT(B97,UPPER(B97)),"","|lc")</f>
        <v/>
      </c>
      <c r="N97" s="11">
        <f>IFERROR(MATCH(M97,Wires!$W$2:$W$1000,0),IFERROR(MATCH(M97,Wires!$X$2:$X$1000,0),""))</f>
        <v/>
      </c>
      <c r="O97" s="11">
        <f>IF(N97="","",IF(ISNUMBER(MATCH(M97,Wires!$W$2:$W$1000,0)),"from","to"))</f>
        <v/>
      </c>
    </row>
    <row r="98">
      <c r="A98" s="9" t="inlineStr">
        <is>
          <t>AMS LED J1</t>
        </is>
      </c>
      <c r="B98" s="9" t="inlineStr">
        <is>
          <t>2</t>
        </is>
      </c>
      <c r="C98" s="9" t="inlineStr">
        <is>
          <t>AMS_LED_Signal</t>
        </is>
      </c>
      <c r="D98" s="9" t="inlineStr">
        <is>
          <t>OUT</t>
        </is>
      </c>
      <c r="E98" s="9" t="inlineStr">
        <is>
          <t>0V</t>
        </is>
      </c>
      <c r="F98" s="11">
        <f>IF(N98="","",INDEX(Wires!$A$2:$A$1000,N98))</f>
        <v/>
      </c>
      <c r="G98" s="11">
        <f>IF(N98="","",INDEX(Wires!$C$2:$C$1000,N98))</f>
        <v/>
      </c>
      <c r="H98" s="11">
        <f>IF(N98="","",IF(O98="from",INDEX(Wires!$F$2:$F$1000,N98)&amp;":"&amp;INDEX(Wires!$G$2:$G$1000,N98),INDEX(Wires!$D$2:$D$1000,N98)&amp;":"&amp;INDEX(Wires!$E$2:$E$1000,N98)))</f>
        <v/>
      </c>
      <c r="I98" s="11">
        <f>IF(N98="","",INDEX(Wires!$H$2:$H$1000,N98)&amp;"")</f>
        <v/>
      </c>
      <c r="J98" s="11">
        <f>IF(N98="","",IF(INDEX(Wires!$I$2:$I$1000,N98)="","",INDEX(Wires!$I$2:$I$1000,N98)))</f>
        <v/>
      </c>
      <c r="K98" s="11">
        <f>COUNTIF(Wires!$W$2:$W$1000,M98)+COUNTIF(Wires!$X$2:$X$1000,M98)</f>
        <v/>
      </c>
      <c r="L98" s="11">
        <f>IF(AND(K98=0,C98&lt;&gt;"",D98&lt;&gt;"NC"),"pino com sinal mas sem fio; ","")&amp;IF(AND(D98="NC",K98&gt;0),"pino NC com fio; ","")&amp;IF(AND(K98&gt;1,ISERROR(MATCH(IFERROR(INDEX(Connectors!$D$2:$D$1000,MATCH(A98,Connectors!$A$2:$A$1000,0)),""),{"SPLICE","STUD"},0))),"vários fios no mesmo pino; ","")</f>
        <v/>
      </c>
      <c r="M98" s="11">
        <f>A98&amp;":"&amp;B98&amp;IF(EXACT(B98,UPPER(B98)),"","|lc")</f>
        <v/>
      </c>
      <c r="N98" s="11">
        <f>IFERROR(MATCH(M98,Wires!$W$2:$W$1000,0),IFERROR(MATCH(M98,Wires!$X$2:$X$1000,0),""))</f>
        <v/>
      </c>
      <c r="O98" s="11">
        <f>IF(N98="","",IF(ISNUMBER(MATCH(M98,Wires!$W$2:$W$1000,0)),"from","to"))</f>
        <v/>
      </c>
    </row>
    <row r="99">
      <c r="A99" s="9" t="inlineStr">
        <is>
          <t>TS OFF LED J1</t>
        </is>
      </c>
      <c r="B99" s="9" t="inlineStr">
        <is>
          <t>1</t>
        </is>
      </c>
      <c r="C99" s="9" t="inlineStr">
        <is>
          <t>TS_OFF_LED_Signal</t>
        </is>
      </c>
      <c r="D99" s="9" t="inlineStr">
        <is>
          <t>IN</t>
        </is>
      </c>
      <c r="E99" s="9" t="inlineStr">
        <is>
          <t>3.3V</t>
        </is>
      </c>
      <c r="F99" s="11">
        <f>IF(N99="","",INDEX(Wires!$A$2:$A$1000,N99))</f>
        <v/>
      </c>
      <c r="G99" s="11">
        <f>IF(N99="","",INDEX(Wires!$C$2:$C$1000,N99))</f>
        <v/>
      </c>
      <c r="H99" s="11">
        <f>IF(N99="","",IF(O99="from",INDEX(Wires!$F$2:$F$1000,N99)&amp;":"&amp;INDEX(Wires!$G$2:$G$1000,N99),INDEX(Wires!$D$2:$D$1000,N99)&amp;":"&amp;INDEX(Wires!$E$2:$E$1000,N99)))</f>
        <v/>
      </c>
      <c r="I99" s="11">
        <f>IF(N99="","",INDEX(Wires!$H$2:$H$1000,N99)&amp;"")</f>
        <v/>
      </c>
      <c r="J99" s="11">
        <f>IF(N99="","",IF(INDEX(Wires!$I$2:$I$1000,N99)="","",INDEX(Wires!$I$2:$I$1000,N99)))</f>
        <v/>
      </c>
      <c r="K99" s="11">
        <f>COUNTIF(Wires!$W$2:$W$1000,M99)+COUNTIF(Wires!$X$2:$X$1000,M99)</f>
        <v/>
      </c>
      <c r="L99" s="11">
        <f>IF(AND(K99=0,C99&lt;&gt;"",D99&lt;&gt;"NC"),"pino com sinal mas sem fio; ","")&amp;IF(AND(D99="NC",K99&gt;0),"pino NC com fio; ","")&amp;IF(AND(K99&gt;1,ISERROR(MATCH(IFERROR(INDEX(Connectors!$D$2:$D$1000,MATCH(A99,Connectors!$A$2:$A$1000,0)),""),{"SPLICE","STUD"},0))),"vários fios no mesmo pino; ","")</f>
        <v/>
      </c>
      <c r="M99" s="11">
        <f>A99&amp;":"&amp;B99&amp;IF(EXACT(B99,UPPER(B99)),"","|lc")</f>
        <v/>
      </c>
      <c r="N99" s="11">
        <f>IFERROR(MATCH(M99,Wires!$W$2:$W$1000,0),IFERROR(MATCH(M99,Wires!$X$2:$X$1000,0),""))</f>
        <v/>
      </c>
      <c r="O99" s="11">
        <f>IF(N99="","",IF(ISNUMBER(MATCH(M99,Wires!$W$2:$W$1000,0)),"from","to"))</f>
        <v/>
      </c>
    </row>
    <row r="100">
      <c r="A100" s="9" t="inlineStr">
        <is>
          <t>TS OFF LED J1</t>
        </is>
      </c>
      <c r="B100" s="9" t="inlineStr">
        <is>
          <t>2</t>
        </is>
      </c>
      <c r="C100" s="9" t="inlineStr">
        <is>
          <t>TS_OFF_LED_GND</t>
        </is>
      </c>
      <c r="D100" s="9" t="inlineStr">
        <is>
          <t>OUT</t>
        </is>
      </c>
      <c r="E100" s="9" t="inlineStr">
        <is>
          <t>0V</t>
        </is>
      </c>
      <c r="F100" s="11">
        <f>IF(N100="","",INDEX(Wires!$A$2:$A$1000,N100))</f>
        <v/>
      </c>
      <c r="G100" s="11">
        <f>IF(N100="","",INDEX(Wires!$C$2:$C$1000,N100))</f>
        <v/>
      </c>
      <c r="H100" s="11">
        <f>IF(N100="","",IF(O100="from",INDEX(Wires!$F$2:$F$1000,N100)&amp;":"&amp;INDEX(Wires!$G$2:$G$1000,N100),INDEX(Wires!$D$2:$D$1000,N100)&amp;":"&amp;INDEX(Wires!$E$2:$E$1000,N100)))</f>
        <v/>
      </c>
      <c r="I100" s="11">
        <f>IF(N100="","",INDEX(Wires!$H$2:$H$1000,N100)&amp;"")</f>
        <v/>
      </c>
      <c r="J100" s="11">
        <f>IF(N100="","",IF(INDEX(Wires!$I$2:$I$1000,N100)="","",INDEX(Wires!$I$2:$I$1000,N100)))</f>
        <v/>
      </c>
      <c r="K100" s="11">
        <f>COUNTIF(Wires!$W$2:$W$1000,M100)+COUNTIF(Wires!$X$2:$X$1000,M100)</f>
        <v/>
      </c>
      <c r="L100" s="11">
        <f>IF(AND(K100=0,C100&lt;&gt;"",D100&lt;&gt;"NC"),"pino com sinal mas sem fio; ","")&amp;IF(AND(D100="NC",K100&gt;0),"pino NC com fio; ","")&amp;IF(AND(K100&gt;1,ISERROR(MATCH(IFERROR(INDEX(Connectors!$D$2:$D$1000,MATCH(A100,Connectors!$A$2:$A$1000,0)),""),{"SPLICE","STUD"},0))),"vários fios no mesmo pino; ","")</f>
        <v/>
      </c>
      <c r="M100" s="11">
        <f>A100&amp;":"&amp;B100&amp;IF(EXACT(B100,UPPER(B100)),"","|lc")</f>
        <v/>
      </c>
      <c r="N100" s="11">
        <f>IFERROR(MATCH(M100,Wires!$W$2:$W$1000,0),IFERROR(MATCH(M100,Wires!$X$2:$X$1000,0),""))</f>
        <v/>
      </c>
      <c r="O100" s="11">
        <f>IF(N100="","",IF(ISNUMBER(MATCH(M100,Wires!$W$2:$W$1000,0)),"from","to"))</f>
        <v/>
      </c>
    </row>
    <row r="101">
      <c r="A101" s="9" t="inlineStr">
        <is>
          <t>IMD LED J1</t>
        </is>
      </c>
      <c r="B101" s="9" t="inlineStr">
        <is>
          <t>1</t>
        </is>
      </c>
      <c r="C101" s="9" t="inlineStr">
        <is>
          <t>IMD_LED_Supply</t>
        </is>
      </c>
      <c r="D101" s="9" t="inlineStr">
        <is>
          <t>IN</t>
        </is>
      </c>
      <c r="E101" s="9" t="inlineStr">
        <is>
          <t>24V</t>
        </is>
      </c>
      <c r="F101" s="11">
        <f>IF(N101="","",INDEX(Wires!$A$2:$A$1000,N101))</f>
        <v/>
      </c>
      <c r="G101" s="11">
        <f>IF(N101="","",INDEX(Wires!$C$2:$C$1000,N101))</f>
        <v/>
      </c>
      <c r="H101" s="11">
        <f>IF(N101="","",IF(O101="from",INDEX(Wires!$F$2:$F$1000,N101)&amp;":"&amp;INDEX(Wires!$G$2:$G$1000,N101),INDEX(Wires!$D$2:$D$1000,N101)&amp;":"&amp;INDEX(Wires!$E$2:$E$1000,N101)))</f>
        <v/>
      </c>
      <c r="I101" s="11">
        <f>IF(N101="","",INDEX(Wires!$H$2:$H$1000,N101)&amp;"")</f>
        <v/>
      </c>
      <c r="J101" s="11">
        <f>IF(N101="","",IF(INDEX(Wires!$I$2:$I$1000,N101)="","",INDEX(Wires!$I$2:$I$1000,N101)))</f>
        <v/>
      </c>
      <c r="K101" s="11">
        <f>COUNTIF(Wires!$W$2:$W$1000,M101)+COUNTIF(Wires!$X$2:$X$1000,M101)</f>
        <v/>
      </c>
      <c r="L101" s="11">
        <f>IF(AND(K101=0,C101&lt;&gt;"",D101&lt;&gt;"NC"),"pino com sinal mas sem fio; ","")&amp;IF(AND(D101="NC",K101&gt;0),"pino NC com fio; ","")&amp;IF(AND(K101&gt;1,ISERROR(MATCH(IFERROR(INDEX(Connectors!$D$2:$D$1000,MATCH(A101,Connectors!$A$2:$A$1000,0)),""),{"SPLICE","STUD"},0))),"vários fios no mesmo pino; ","")</f>
        <v/>
      </c>
      <c r="M101" s="11">
        <f>A101&amp;":"&amp;B101&amp;IF(EXACT(B101,UPPER(B101)),"","|lc")</f>
        <v/>
      </c>
      <c r="N101" s="11">
        <f>IFERROR(MATCH(M101,Wires!$W$2:$W$1000,0),IFERROR(MATCH(M101,Wires!$X$2:$X$1000,0),""))</f>
        <v/>
      </c>
      <c r="O101" s="11">
        <f>IF(N101="","",IF(ISNUMBER(MATCH(M101,Wires!$W$2:$W$1000,0)),"from","to"))</f>
        <v/>
      </c>
    </row>
    <row r="102">
      <c r="A102" s="9" t="inlineStr">
        <is>
          <t>IMD LED J1</t>
        </is>
      </c>
      <c r="B102" s="9" t="inlineStr">
        <is>
          <t>2</t>
        </is>
      </c>
      <c r="C102" s="9" t="inlineStr">
        <is>
          <t>IMD_LED_Signal</t>
        </is>
      </c>
      <c r="D102" s="9" t="inlineStr">
        <is>
          <t>OUT</t>
        </is>
      </c>
      <c r="E102" s="9" t="inlineStr">
        <is>
          <t>0V</t>
        </is>
      </c>
      <c r="F102" s="11">
        <f>IF(N102="","",INDEX(Wires!$A$2:$A$1000,N102))</f>
        <v/>
      </c>
      <c r="G102" s="11">
        <f>IF(N102="","",INDEX(Wires!$C$2:$C$1000,N102))</f>
        <v/>
      </c>
      <c r="H102" s="11">
        <f>IF(N102="","",IF(O102="from",INDEX(Wires!$F$2:$F$1000,N102)&amp;":"&amp;INDEX(Wires!$G$2:$G$1000,N102),INDEX(Wires!$D$2:$D$1000,N102)&amp;":"&amp;INDEX(Wires!$E$2:$E$1000,N102)))</f>
        <v/>
      </c>
      <c r="I102" s="11">
        <f>IF(N102="","",INDEX(Wires!$H$2:$H$1000,N102)&amp;"")</f>
        <v/>
      </c>
      <c r="J102" s="11">
        <f>IF(N102="","",IF(INDEX(Wires!$I$2:$I$1000,N102)="","",INDEX(Wires!$I$2:$I$1000,N102)))</f>
        <v/>
      </c>
      <c r="K102" s="11">
        <f>COUNTIF(Wires!$W$2:$W$1000,M102)+COUNTIF(Wires!$X$2:$X$1000,M102)</f>
        <v/>
      </c>
      <c r="L102" s="11">
        <f>IF(AND(K102=0,C102&lt;&gt;"",D102&lt;&gt;"NC"),"pino com sinal mas sem fio; ","")&amp;IF(AND(D102="NC",K102&gt;0),"pino NC com fio; ","")&amp;IF(AND(K102&gt;1,ISERROR(MATCH(IFERROR(INDEX(Connectors!$D$2:$D$1000,MATCH(A102,Connectors!$A$2:$A$1000,0)),""),{"SPLICE","STUD"},0))),"vários fios no mesmo pino; ","")</f>
        <v/>
      </c>
      <c r="M102" s="11">
        <f>A102&amp;":"&amp;B102&amp;IF(EXACT(B102,UPPER(B102)),"","|lc")</f>
        <v/>
      </c>
      <c r="N102" s="11">
        <f>IFERROR(MATCH(M102,Wires!$W$2:$W$1000,0),IFERROR(MATCH(M102,Wires!$X$2:$X$1000,0),""))</f>
        <v/>
      </c>
      <c r="O102" s="11">
        <f>IF(N102="","",IF(ISNUMBER(MATCH(M102,Wires!$W$2:$W$1000,0)),"from","to"))</f>
        <v/>
      </c>
    </row>
    <row r="103">
      <c r="A103" s="9" t="inlineStr">
        <is>
          <t>SDC LED J1</t>
        </is>
      </c>
      <c r="B103" s="9" t="inlineStr">
        <is>
          <t>1</t>
        </is>
      </c>
      <c r="C103" s="9" t="inlineStr">
        <is>
          <t>SDC_LED_Signal</t>
        </is>
      </c>
      <c r="D103" s="9" t="inlineStr">
        <is>
          <t>IN</t>
        </is>
      </c>
      <c r="E103" s="9" t="inlineStr">
        <is>
          <t>24V</t>
        </is>
      </c>
      <c r="F103" s="11">
        <f>IF(N103="","",INDEX(Wires!$A$2:$A$1000,N103))</f>
        <v/>
      </c>
      <c r="G103" s="11">
        <f>IF(N103="","",INDEX(Wires!$C$2:$C$1000,N103))</f>
        <v/>
      </c>
      <c r="H103" s="11">
        <f>IF(N103="","",IF(O103="from",INDEX(Wires!$F$2:$F$1000,N103)&amp;":"&amp;INDEX(Wires!$G$2:$G$1000,N103),INDEX(Wires!$D$2:$D$1000,N103)&amp;":"&amp;INDEX(Wires!$E$2:$E$1000,N103)))</f>
        <v/>
      </c>
      <c r="I103" s="11">
        <f>IF(N103="","",INDEX(Wires!$H$2:$H$1000,N103)&amp;"")</f>
        <v/>
      </c>
      <c r="J103" s="11">
        <f>IF(N103="","",IF(INDEX(Wires!$I$2:$I$1000,N103)="","",INDEX(Wires!$I$2:$I$1000,N103)))</f>
        <v/>
      </c>
      <c r="K103" s="11">
        <f>COUNTIF(Wires!$W$2:$W$1000,M103)+COUNTIF(Wires!$X$2:$X$1000,M103)</f>
        <v/>
      </c>
      <c r="L103" s="11">
        <f>IF(AND(K103=0,C103&lt;&gt;"",D103&lt;&gt;"NC"),"pino com sinal mas sem fio; ","")&amp;IF(AND(D103="NC",K103&gt;0),"pino NC com fio; ","")&amp;IF(AND(K103&gt;1,ISERROR(MATCH(IFERROR(INDEX(Connectors!$D$2:$D$1000,MATCH(A103,Connectors!$A$2:$A$1000,0)),""),{"SPLICE","STUD"},0))),"vários fios no mesmo pino; ","")</f>
        <v/>
      </c>
      <c r="M103" s="11">
        <f>A103&amp;":"&amp;B103&amp;IF(EXACT(B103,UPPER(B103)),"","|lc")</f>
        <v/>
      </c>
      <c r="N103" s="11">
        <f>IFERROR(MATCH(M103,Wires!$W$2:$W$1000,0),IFERROR(MATCH(M103,Wires!$X$2:$X$1000,0),""))</f>
        <v/>
      </c>
      <c r="O103" s="11">
        <f>IF(N103="","",IF(ISNUMBER(MATCH(M103,Wires!$W$2:$W$1000,0)),"from","to"))</f>
        <v/>
      </c>
    </row>
    <row r="104">
      <c r="A104" s="9" t="inlineStr">
        <is>
          <t>SDC LED J1</t>
        </is>
      </c>
      <c r="B104" s="9" t="inlineStr">
        <is>
          <t>2</t>
        </is>
      </c>
      <c r="C104" s="9" t="inlineStr">
        <is>
          <t>SDC_LED_GND</t>
        </is>
      </c>
      <c r="D104" s="9" t="inlineStr">
        <is>
          <t>OUT</t>
        </is>
      </c>
      <c r="E104" s="9" t="inlineStr">
        <is>
          <t>0V</t>
        </is>
      </c>
      <c r="F104" s="11">
        <f>IF(N104="","",INDEX(Wires!$A$2:$A$1000,N104))</f>
        <v/>
      </c>
      <c r="G104" s="11">
        <f>IF(N104="","",INDEX(Wires!$C$2:$C$1000,N104))</f>
        <v/>
      </c>
      <c r="H104" s="11">
        <f>IF(N104="","",IF(O104="from",INDEX(Wires!$F$2:$F$1000,N104)&amp;":"&amp;INDEX(Wires!$G$2:$G$1000,N104),INDEX(Wires!$D$2:$D$1000,N104)&amp;":"&amp;INDEX(Wires!$E$2:$E$1000,N104)))</f>
        <v/>
      </c>
      <c r="I104" s="11">
        <f>IF(N104="","",INDEX(Wires!$H$2:$H$1000,N104)&amp;"")</f>
        <v/>
      </c>
      <c r="J104" s="11">
        <f>IF(N104="","",IF(INDEX(Wires!$I$2:$I$1000,N104)="","",INDEX(Wires!$I$2:$I$1000,N104)))</f>
        <v/>
      </c>
      <c r="K104" s="11">
        <f>COUNTIF(Wires!$W$2:$W$1000,M104)+COUNTIF(Wires!$X$2:$X$1000,M104)</f>
        <v/>
      </c>
      <c r="L104" s="11">
        <f>IF(AND(K104=0,C104&lt;&gt;"",D104&lt;&gt;"NC"),"pino com sinal mas sem fio; ","")&amp;IF(AND(D104="NC",K104&gt;0),"pino NC com fio; ","")&amp;IF(AND(K104&gt;1,ISERROR(MATCH(IFERROR(INDEX(Connectors!$D$2:$D$1000,MATCH(A104,Connectors!$A$2:$A$1000,0)),""),{"SPLICE","STUD"},0))),"vários fios no mesmo pino; ","")</f>
        <v/>
      </c>
      <c r="M104" s="11">
        <f>A104&amp;":"&amp;B104&amp;IF(EXACT(B104,UPPER(B104)),"","|lc")</f>
        <v/>
      </c>
      <c r="N104" s="11">
        <f>IFERROR(MATCH(M104,Wires!$W$2:$W$1000,0),IFERROR(MATCH(M104,Wires!$X$2:$X$1000,0),""))</f>
        <v/>
      </c>
      <c r="O104" s="11">
        <f>IF(N104="","",IF(ISNUMBER(MATCH(M104,Wires!$W$2:$W$1000,0)),"from","to"))</f>
        <v/>
      </c>
    </row>
    <row r="105">
      <c r="A105" s="9" t="inlineStr">
        <is>
          <t>LV ON LED J1</t>
        </is>
      </c>
      <c r="B105" s="9" t="inlineStr">
        <is>
          <t>1</t>
        </is>
      </c>
      <c r="C105" s="9" t="inlineStr">
        <is>
          <t>LV_ON_LED_Signal</t>
        </is>
      </c>
      <c r="D105" s="9" t="inlineStr">
        <is>
          <t>IN</t>
        </is>
      </c>
      <c r="E105" s="9" t="inlineStr">
        <is>
          <t>24V</t>
        </is>
      </c>
      <c r="F105" s="11">
        <f>IF(N105="","",INDEX(Wires!$A$2:$A$1000,N105))</f>
        <v/>
      </c>
      <c r="G105" s="11">
        <f>IF(N105="","",INDEX(Wires!$C$2:$C$1000,N105))</f>
        <v/>
      </c>
      <c r="H105" s="11">
        <f>IF(N105="","",IF(O105="from",INDEX(Wires!$F$2:$F$1000,N105)&amp;":"&amp;INDEX(Wires!$G$2:$G$1000,N105),INDEX(Wires!$D$2:$D$1000,N105)&amp;":"&amp;INDEX(Wires!$E$2:$E$1000,N105)))</f>
        <v/>
      </c>
      <c r="I105" s="11">
        <f>IF(N105="","",INDEX(Wires!$H$2:$H$1000,N105)&amp;"")</f>
        <v/>
      </c>
      <c r="J105" s="11">
        <f>IF(N105="","",IF(INDEX(Wires!$I$2:$I$1000,N105)="","",INDEX(Wires!$I$2:$I$1000,N105)))</f>
        <v/>
      </c>
      <c r="K105" s="11">
        <f>COUNTIF(Wires!$W$2:$W$1000,M105)+COUNTIF(Wires!$X$2:$X$1000,M105)</f>
        <v/>
      </c>
      <c r="L105" s="11">
        <f>IF(AND(K105=0,C105&lt;&gt;"",D105&lt;&gt;"NC"),"pino com sinal mas sem fio; ","")&amp;IF(AND(D105="NC",K105&gt;0),"pino NC com fio; ","")&amp;IF(AND(K105&gt;1,ISERROR(MATCH(IFERROR(INDEX(Connectors!$D$2:$D$1000,MATCH(A105,Connectors!$A$2:$A$1000,0)),""),{"SPLICE","STUD"},0))),"vários fios no mesmo pino; ","")</f>
        <v/>
      </c>
      <c r="M105" s="11">
        <f>A105&amp;":"&amp;B105&amp;IF(EXACT(B105,UPPER(B105)),"","|lc")</f>
        <v/>
      </c>
      <c r="N105" s="11">
        <f>IFERROR(MATCH(M105,Wires!$W$2:$W$1000,0),IFERROR(MATCH(M105,Wires!$X$2:$X$1000,0),""))</f>
        <v/>
      </c>
      <c r="O105" s="11">
        <f>IF(N105="","",IF(ISNUMBER(MATCH(M105,Wires!$W$2:$W$1000,0)),"from","to"))</f>
        <v/>
      </c>
    </row>
    <row r="106">
      <c r="A106" s="9" t="inlineStr">
        <is>
          <t>LV ON LED J1</t>
        </is>
      </c>
      <c r="B106" s="9" t="inlineStr">
        <is>
          <t>2</t>
        </is>
      </c>
      <c r="C106" s="9" t="inlineStr">
        <is>
          <t>LV_ON_LED_GND</t>
        </is>
      </c>
      <c r="D106" s="9" t="inlineStr">
        <is>
          <t>OUT</t>
        </is>
      </c>
      <c r="E106" s="9" t="inlineStr">
        <is>
          <t>0V</t>
        </is>
      </c>
      <c r="F106" s="11">
        <f>IF(N106="","",INDEX(Wires!$A$2:$A$1000,N106))</f>
        <v/>
      </c>
      <c r="G106" s="11">
        <f>IF(N106="","",INDEX(Wires!$C$2:$C$1000,N106))</f>
        <v/>
      </c>
      <c r="H106" s="11">
        <f>IF(N106="","",IF(O106="from",INDEX(Wires!$F$2:$F$1000,N106)&amp;":"&amp;INDEX(Wires!$G$2:$G$1000,N106),INDEX(Wires!$D$2:$D$1000,N106)&amp;":"&amp;INDEX(Wires!$E$2:$E$1000,N106)))</f>
        <v/>
      </c>
      <c r="I106" s="11">
        <f>IF(N106="","",INDEX(Wires!$H$2:$H$1000,N106)&amp;"")</f>
        <v/>
      </c>
      <c r="J106" s="11">
        <f>IF(N106="","",IF(INDEX(Wires!$I$2:$I$1000,N106)="","",INDEX(Wires!$I$2:$I$1000,N106)))</f>
        <v/>
      </c>
      <c r="K106" s="11">
        <f>COUNTIF(Wires!$W$2:$W$1000,M106)+COUNTIF(Wires!$X$2:$X$1000,M106)</f>
        <v/>
      </c>
      <c r="L106" s="11">
        <f>IF(AND(K106=0,C106&lt;&gt;"",D106&lt;&gt;"NC"),"pino com sinal mas sem fio; ","")&amp;IF(AND(D106="NC",K106&gt;0),"pino NC com fio; ","")&amp;IF(AND(K106&gt;1,ISERROR(MATCH(IFERROR(INDEX(Connectors!$D$2:$D$1000,MATCH(A106,Connectors!$A$2:$A$1000,0)),""),{"SPLICE","STUD"},0))),"vários fios no mesmo pino; ","")</f>
        <v/>
      </c>
      <c r="M106" s="11">
        <f>A106&amp;":"&amp;B106&amp;IF(EXACT(B106,UPPER(B106)),"","|lc")</f>
        <v/>
      </c>
      <c r="N106" s="11">
        <f>IFERROR(MATCH(M106,Wires!$W$2:$W$1000,0),IFERROR(MATCH(M106,Wires!$X$2:$X$1000,0),""))</f>
        <v/>
      </c>
      <c r="O106" s="11">
        <f>IF(N106="","",IF(ISNUMBER(MATCH(M106,Wires!$W$2:$W$1000,0)),"from","to"))</f>
        <v/>
      </c>
    </row>
    <row r="107">
      <c r="A107" s="9" t="inlineStr">
        <is>
          <t>TS ON LED J1</t>
        </is>
      </c>
      <c r="B107" s="9" t="inlineStr">
        <is>
          <t>1</t>
        </is>
      </c>
      <c r="C107" s="9" t="inlineStr">
        <is>
          <t>TS_ON_LED_Signal</t>
        </is>
      </c>
      <c r="D107" s="9" t="inlineStr">
        <is>
          <t>IN</t>
        </is>
      </c>
      <c r="E107" s="9" t="inlineStr">
        <is>
          <t>3.3V</t>
        </is>
      </c>
      <c r="F107" s="11">
        <f>IF(N107="","",INDEX(Wires!$A$2:$A$1000,N107))</f>
        <v/>
      </c>
      <c r="G107" s="11">
        <f>IF(N107="","",INDEX(Wires!$C$2:$C$1000,N107))</f>
        <v/>
      </c>
      <c r="H107" s="11">
        <f>IF(N107="","",IF(O107="from",INDEX(Wires!$F$2:$F$1000,N107)&amp;":"&amp;INDEX(Wires!$G$2:$G$1000,N107),INDEX(Wires!$D$2:$D$1000,N107)&amp;":"&amp;INDEX(Wires!$E$2:$E$1000,N107)))</f>
        <v/>
      </c>
      <c r="I107" s="11">
        <f>IF(N107="","",INDEX(Wires!$H$2:$H$1000,N107)&amp;"")</f>
        <v/>
      </c>
      <c r="J107" s="11">
        <f>IF(N107="","",IF(INDEX(Wires!$I$2:$I$1000,N107)="","",INDEX(Wires!$I$2:$I$1000,N107)))</f>
        <v/>
      </c>
      <c r="K107" s="11">
        <f>COUNTIF(Wires!$W$2:$W$1000,M107)+COUNTIF(Wires!$X$2:$X$1000,M107)</f>
        <v/>
      </c>
      <c r="L107" s="11">
        <f>IF(AND(K107=0,C107&lt;&gt;"",D107&lt;&gt;"NC"),"pino com sinal mas sem fio; ","")&amp;IF(AND(D107="NC",K107&gt;0),"pino NC com fio; ","")&amp;IF(AND(K107&gt;1,ISERROR(MATCH(IFERROR(INDEX(Connectors!$D$2:$D$1000,MATCH(A107,Connectors!$A$2:$A$1000,0)),""),{"SPLICE","STUD"},0))),"vários fios no mesmo pino; ","")</f>
        <v/>
      </c>
      <c r="M107" s="11">
        <f>A107&amp;":"&amp;B107&amp;IF(EXACT(B107,UPPER(B107)),"","|lc")</f>
        <v/>
      </c>
      <c r="N107" s="11">
        <f>IFERROR(MATCH(M107,Wires!$W$2:$W$1000,0),IFERROR(MATCH(M107,Wires!$X$2:$X$1000,0),""))</f>
        <v/>
      </c>
      <c r="O107" s="11">
        <f>IF(N107="","",IF(ISNUMBER(MATCH(M107,Wires!$W$2:$W$1000,0)),"from","to"))</f>
        <v/>
      </c>
    </row>
    <row r="108">
      <c r="A108" s="9" t="inlineStr">
        <is>
          <t>TS ON LED J1</t>
        </is>
      </c>
      <c r="B108" s="9" t="inlineStr">
        <is>
          <t>2</t>
        </is>
      </c>
      <c r="C108" s="9" t="inlineStr">
        <is>
          <t>TS_ON_LED_GND</t>
        </is>
      </c>
      <c r="D108" s="9" t="inlineStr">
        <is>
          <t>OUT</t>
        </is>
      </c>
      <c r="E108" s="9" t="inlineStr">
        <is>
          <t>0V</t>
        </is>
      </c>
      <c r="F108" s="11">
        <f>IF(N108="","",INDEX(Wires!$A$2:$A$1000,N108))</f>
        <v/>
      </c>
      <c r="G108" s="11">
        <f>IF(N108="","",INDEX(Wires!$C$2:$C$1000,N108))</f>
        <v/>
      </c>
      <c r="H108" s="11">
        <f>IF(N108="","",IF(O108="from",INDEX(Wires!$F$2:$F$1000,N108)&amp;":"&amp;INDEX(Wires!$G$2:$G$1000,N108),INDEX(Wires!$D$2:$D$1000,N108)&amp;":"&amp;INDEX(Wires!$E$2:$E$1000,N108)))</f>
        <v/>
      </c>
      <c r="I108" s="11">
        <f>IF(N108="","",INDEX(Wires!$H$2:$H$1000,N108)&amp;"")</f>
        <v/>
      </c>
      <c r="J108" s="11">
        <f>IF(N108="","",IF(INDEX(Wires!$I$2:$I$1000,N108)="","",INDEX(Wires!$I$2:$I$1000,N108)))</f>
        <v/>
      </c>
      <c r="K108" s="11">
        <f>COUNTIF(Wires!$W$2:$W$1000,M108)+COUNTIF(Wires!$X$2:$X$1000,M108)</f>
        <v/>
      </c>
      <c r="L108" s="11">
        <f>IF(AND(K108=0,C108&lt;&gt;"",D108&lt;&gt;"NC"),"pino com sinal mas sem fio; ","")&amp;IF(AND(D108="NC",K108&gt;0),"pino NC com fio; ","")&amp;IF(AND(K108&gt;1,ISERROR(MATCH(IFERROR(INDEX(Connectors!$D$2:$D$1000,MATCH(A108,Connectors!$A$2:$A$1000,0)),""),{"SPLICE","STUD"},0))),"vários fios no mesmo pino; ","")</f>
        <v/>
      </c>
      <c r="M108" s="11">
        <f>A108&amp;":"&amp;B108&amp;IF(EXACT(B108,UPPER(B108)),"","|lc")</f>
        <v/>
      </c>
      <c r="N108" s="11">
        <f>IFERROR(MATCH(M108,Wires!$W$2:$W$1000,0),IFERROR(MATCH(M108,Wires!$X$2:$X$1000,0),""))</f>
        <v/>
      </c>
      <c r="O108" s="11">
        <f>IF(N108="","",IF(ISNUMBER(MATCH(M108,Wires!$W$2:$W$1000,0)),"from","to"))</f>
        <v/>
      </c>
    </row>
    <row r="109">
      <c r="A109" s="9" t="inlineStr">
        <is>
          <t>FAN J1</t>
        </is>
      </c>
      <c r="B109" s="9" t="inlineStr">
        <is>
          <t>1</t>
        </is>
      </c>
      <c r="C109" s="9" t="inlineStr">
        <is>
          <t>FAN 24V</t>
        </is>
      </c>
      <c r="D109" s="9" t="inlineStr">
        <is>
          <t>IN</t>
        </is>
      </c>
      <c r="E109" s="9" t="inlineStr">
        <is>
          <t>24V</t>
        </is>
      </c>
      <c r="F109" s="11">
        <f>IF(N109="","",INDEX(Wires!$A$2:$A$1000,N109))</f>
        <v/>
      </c>
      <c r="G109" s="11">
        <f>IF(N109="","",INDEX(Wires!$C$2:$C$1000,N109))</f>
        <v/>
      </c>
      <c r="H109" s="11">
        <f>IF(N109="","",IF(O109="from",INDEX(Wires!$F$2:$F$1000,N109)&amp;":"&amp;INDEX(Wires!$G$2:$G$1000,N109),INDEX(Wires!$D$2:$D$1000,N109)&amp;":"&amp;INDEX(Wires!$E$2:$E$1000,N109)))</f>
        <v/>
      </c>
      <c r="I109" s="11">
        <f>IF(N109="","",INDEX(Wires!$H$2:$H$1000,N109)&amp;"")</f>
        <v/>
      </c>
      <c r="J109" s="11">
        <f>IF(N109="","",IF(INDEX(Wires!$I$2:$I$1000,N109)="","",INDEX(Wires!$I$2:$I$1000,N109)))</f>
        <v/>
      </c>
      <c r="K109" s="11">
        <f>COUNTIF(Wires!$W$2:$W$1000,M109)+COUNTIF(Wires!$X$2:$X$1000,M109)</f>
        <v/>
      </c>
      <c r="L109" s="11">
        <f>IF(AND(K109=0,C109&lt;&gt;"",D109&lt;&gt;"NC"),"pino com sinal mas sem fio; ","")&amp;IF(AND(D109="NC",K109&gt;0),"pino NC com fio; ","")&amp;IF(AND(K109&gt;1,ISERROR(MATCH(IFERROR(INDEX(Connectors!$D$2:$D$1000,MATCH(A109,Connectors!$A$2:$A$1000,0)),""),{"SPLICE","STUD"},0))),"vários fios no mesmo pino; ","")</f>
        <v/>
      </c>
      <c r="M109" s="11">
        <f>A109&amp;":"&amp;B109&amp;IF(EXACT(B109,UPPER(B109)),"","|lc")</f>
        <v/>
      </c>
      <c r="N109" s="11">
        <f>IFERROR(MATCH(M109,Wires!$W$2:$W$1000,0),IFERROR(MATCH(M109,Wires!$X$2:$X$1000,0),""))</f>
        <v/>
      </c>
      <c r="O109" s="11">
        <f>IF(N109="","",IF(ISNUMBER(MATCH(M109,Wires!$W$2:$W$1000,0)),"from","to"))</f>
        <v/>
      </c>
    </row>
    <row r="110">
      <c r="A110" s="9" t="inlineStr">
        <is>
          <t>FAN J1</t>
        </is>
      </c>
      <c r="B110" s="9" t="inlineStr">
        <is>
          <t>2</t>
        </is>
      </c>
      <c r="C110" s="9" t="inlineStr">
        <is>
          <t>FAN GND</t>
        </is>
      </c>
      <c r="D110" s="9" t="inlineStr">
        <is>
          <t>IN</t>
        </is>
      </c>
      <c r="E110" s="9" t="inlineStr">
        <is>
          <t>0V</t>
        </is>
      </c>
      <c r="F110" s="11">
        <f>IF(N110="","",INDEX(Wires!$A$2:$A$1000,N110))</f>
        <v/>
      </c>
      <c r="G110" s="11">
        <f>IF(N110="","",INDEX(Wires!$C$2:$C$1000,N110))</f>
        <v/>
      </c>
      <c r="H110" s="11">
        <f>IF(N110="","",IF(O110="from",INDEX(Wires!$F$2:$F$1000,N110)&amp;":"&amp;INDEX(Wires!$G$2:$G$1000,N110),INDEX(Wires!$D$2:$D$1000,N110)&amp;":"&amp;INDEX(Wires!$E$2:$E$1000,N110)))</f>
        <v/>
      </c>
      <c r="I110" s="11">
        <f>IF(N110="","",INDEX(Wires!$H$2:$H$1000,N110)&amp;"")</f>
        <v/>
      </c>
      <c r="J110" s="11">
        <f>IF(N110="","",IF(INDEX(Wires!$I$2:$I$1000,N110)="","",INDEX(Wires!$I$2:$I$1000,N110)))</f>
        <v/>
      </c>
      <c r="K110" s="11">
        <f>COUNTIF(Wires!$W$2:$W$1000,M110)+COUNTIF(Wires!$X$2:$X$1000,M110)</f>
        <v/>
      </c>
      <c r="L110" s="11">
        <f>IF(AND(K110=0,C110&lt;&gt;"",D110&lt;&gt;"NC"),"pino com sinal mas sem fio; ","")&amp;IF(AND(D110="NC",K110&gt;0),"pino NC com fio; ","")&amp;IF(AND(K110&gt;1,ISERROR(MATCH(IFERROR(INDEX(Connectors!$D$2:$D$1000,MATCH(A110,Connectors!$A$2:$A$1000,0)),""),{"SPLICE","STUD"},0))),"vários fios no mesmo pino; ","")</f>
        <v/>
      </c>
      <c r="M110" s="11">
        <f>A110&amp;":"&amp;B110&amp;IF(EXACT(B110,UPPER(B110)),"","|lc")</f>
        <v/>
      </c>
      <c r="N110" s="11">
        <f>IFERROR(MATCH(M110,Wires!$W$2:$W$1000,0),IFERROR(MATCH(M110,Wires!$X$2:$X$1000,0),""))</f>
        <v/>
      </c>
      <c r="O110" s="11">
        <f>IF(N110="","",IF(ISNUMBER(MATCH(M110,Wires!$W$2:$W$1000,0)),"from","to"))</f>
        <v/>
      </c>
    </row>
    <row r="111">
      <c r="A111" s="9" t="inlineStr">
        <is>
          <t>DATABOX J1</t>
        </is>
      </c>
      <c r="B111" s="9" t="inlineStr">
        <is>
          <t>A</t>
        </is>
      </c>
      <c r="C111" s="9" t="inlineStr">
        <is>
          <t>24V In</t>
        </is>
      </c>
      <c r="D111" s="9" t="inlineStr">
        <is>
          <t>IN</t>
        </is>
      </c>
      <c r="E111" s="9" t="inlineStr">
        <is>
          <t>24V</t>
        </is>
      </c>
      <c r="F111" s="11">
        <f>IF(N111="","",INDEX(Wires!$A$2:$A$1000,N111))</f>
        <v/>
      </c>
      <c r="G111" s="11">
        <f>IF(N111="","",INDEX(Wires!$C$2:$C$1000,N111))</f>
        <v/>
      </c>
      <c r="H111" s="11">
        <f>IF(N111="","",IF(O111="from",INDEX(Wires!$F$2:$F$1000,N111)&amp;":"&amp;INDEX(Wires!$G$2:$G$1000,N111),INDEX(Wires!$D$2:$D$1000,N111)&amp;":"&amp;INDEX(Wires!$E$2:$E$1000,N111)))</f>
        <v/>
      </c>
      <c r="I111" s="11">
        <f>IF(N111="","",INDEX(Wires!$H$2:$H$1000,N111)&amp;"")</f>
        <v/>
      </c>
      <c r="J111" s="11">
        <f>IF(N111="","",IF(INDEX(Wires!$I$2:$I$1000,N111)="","",INDEX(Wires!$I$2:$I$1000,N111)))</f>
        <v/>
      </c>
      <c r="K111" s="11">
        <f>COUNTIF(Wires!$W$2:$W$1000,M111)+COUNTIF(Wires!$X$2:$X$1000,M111)</f>
        <v/>
      </c>
      <c r="L111" s="11">
        <f>IF(AND(K111=0,C111&lt;&gt;"",D111&lt;&gt;"NC"),"pino com sinal mas sem fio; ","")&amp;IF(AND(D111="NC",K111&gt;0),"pino NC com fio; ","")&amp;IF(AND(K111&gt;1,ISERROR(MATCH(IFERROR(INDEX(Connectors!$D$2:$D$1000,MATCH(A111,Connectors!$A$2:$A$1000,0)),""),{"SPLICE","STUD"},0))),"vários fios no mesmo pino; ","")</f>
        <v/>
      </c>
      <c r="M111" s="11">
        <f>A111&amp;":"&amp;B111&amp;IF(EXACT(B111,UPPER(B111)),"","|lc")</f>
        <v/>
      </c>
      <c r="N111" s="11">
        <f>IFERROR(MATCH(M111,Wires!$W$2:$W$1000,0),IFERROR(MATCH(M111,Wires!$X$2:$X$1000,0),""))</f>
        <v/>
      </c>
      <c r="O111" s="11">
        <f>IF(N111="","",IF(ISNUMBER(MATCH(M111,Wires!$W$2:$W$1000,0)),"from","to"))</f>
        <v/>
      </c>
    </row>
    <row r="112">
      <c r="A112" s="9" t="inlineStr">
        <is>
          <t>DATABOX J1</t>
        </is>
      </c>
      <c r="B112" s="9" t="inlineStr">
        <is>
          <t>B</t>
        </is>
      </c>
      <c r="C112" s="9" t="inlineStr">
        <is>
          <t>GND In</t>
        </is>
      </c>
      <c r="D112" s="9" t="inlineStr">
        <is>
          <t>IN</t>
        </is>
      </c>
      <c r="E112" s="9" t="inlineStr">
        <is>
          <t>0V</t>
        </is>
      </c>
      <c r="F112" s="11">
        <f>IF(N112="","",INDEX(Wires!$A$2:$A$1000,N112))</f>
        <v/>
      </c>
      <c r="G112" s="11">
        <f>IF(N112="","",INDEX(Wires!$C$2:$C$1000,N112))</f>
        <v/>
      </c>
      <c r="H112" s="11">
        <f>IF(N112="","",IF(O112="from",INDEX(Wires!$F$2:$F$1000,N112)&amp;":"&amp;INDEX(Wires!$G$2:$G$1000,N112),INDEX(Wires!$D$2:$D$1000,N112)&amp;":"&amp;INDEX(Wires!$E$2:$E$1000,N112)))</f>
        <v/>
      </c>
      <c r="I112" s="11">
        <f>IF(N112="","",INDEX(Wires!$H$2:$H$1000,N112)&amp;"")</f>
        <v/>
      </c>
      <c r="J112" s="11">
        <f>IF(N112="","",IF(INDEX(Wires!$I$2:$I$1000,N112)="","",INDEX(Wires!$I$2:$I$1000,N112)))</f>
        <v/>
      </c>
      <c r="K112" s="11">
        <f>COUNTIF(Wires!$W$2:$W$1000,M112)+COUNTIF(Wires!$X$2:$X$1000,M112)</f>
        <v/>
      </c>
      <c r="L112" s="11">
        <f>IF(AND(K112=0,C112&lt;&gt;"",D112&lt;&gt;"NC"),"pino com sinal mas sem fio; ","")&amp;IF(AND(D112="NC",K112&gt;0),"pino NC com fio; ","")&amp;IF(AND(K112&gt;1,ISERROR(MATCH(IFERROR(INDEX(Connectors!$D$2:$D$1000,MATCH(A112,Connectors!$A$2:$A$1000,0)),""),{"SPLICE","STUD"},0))),"vários fios no mesmo pino; ","")</f>
        <v/>
      </c>
      <c r="M112" s="11">
        <f>A112&amp;":"&amp;B112&amp;IF(EXACT(B112,UPPER(B112)),"","|lc")</f>
        <v/>
      </c>
      <c r="N112" s="11">
        <f>IFERROR(MATCH(M112,Wires!$W$2:$W$1000,0),IFERROR(MATCH(M112,Wires!$X$2:$X$1000,0),""))</f>
        <v/>
      </c>
      <c r="O112" s="11">
        <f>IF(N112="","",IF(ISNUMBER(MATCH(M112,Wires!$W$2:$W$1000,0)),"from","to"))</f>
        <v/>
      </c>
    </row>
    <row r="113">
      <c r="A113" s="9" t="inlineStr">
        <is>
          <t>DATABOX J1</t>
        </is>
      </c>
      <c r="B113" s="9" t="inlineStr">
        <is>
          <t>C</t>
        </is>
      </c>
      <c r="C113" s="9" t="inlineStr">
        <is>
          <t>CAN_PWT_L</t>
        </is>
      </c>
      <c r="D113" s="9" t="inlineStr">
        <is>
          <t>BIDIR</t>
        </is>
      </c>
      <c r="E113" s="9" t="inlineStr">
        <is>
          <t>5V</t>
        </is>
      </c>
      <c r="F113" s="11">
        <f>IF(N113="","",INDEX(Wires!$A$2:$A$1000,N113))</f>
        <v/>
      </c>
      <c r="G113" s="11">
        <f>IF(N113="","",INDEX(Wires!$C$2:$C$1000,N113))</f>
        <v/>
      </c>
      <c r="H113" s="11">
        <f>IF(N113="","",IF(O113="from",INDEX(Wires!$F$2:$F$1000,N113)&amp;":"&amp;INDEX(Wires!$G$2:$G$1000,N113),INDEX(Wires!$D$2:$D$1000,N113)&amp;":"&amp;INDEX(Wires!$E$2:$E$1000,N113)))</f>
        <v/>
      </c>
      <c r="I113" s="11">
        <f>IF(N113="","",INDEX(Wires!$H$2:$H$1000,N113)&amp;"")</f>
        <v/>
      </c>
      <c r="J113" s="11">
        <f>IF(N113="","",IF(INDEX(Wires!$I$2:$I$1000,N113)="","",INDEX(Wires!$I$2:$I$1000,N113)))</f>
        <v/>
      </c>
      <c r="K113" s="11">
        <f>COUNTIF(Wires!$W$2:$W$1000,M113)+COUNTIF(Wires!$X$2:$X$1000,M113)</f>
        <v/>
      </c>
      <c r="L113" s="11">
        <f>IF(AND(K113=0,C113&lt;&gt;"",D113&lt;&gt;"NC"),"pino com sinal mas sem fio; ","")&amp;IF(AND(D113="NC",K113&gt;0),"pino NC com fio; ","")&amp;IF(AND(K113&gt;1,ISERROR(MATCH(IFERROR(INDEX(Connectors!$D$2:$D$1000,MATCH(A113,Connectors!$A$2:$A$1000,0)),""),{"SPLICE","STUD"},0))),"vários fios no mesmo pino; ","")</f>
        <v/>
      </c>
      <c r="M113" s="11">
        <f>A113&amp;":"&amp;B113&amp;IF(EXACT(B113,UPPER(B113)),"","|lc")</f>
        <v/>
      </c>
      <c r="N113" s="11">
        <f>IFERROR(MATCH(M113,Wires!$W$2:$W$1000,0),IFERROR(MATCH(M113,Wires!$X$2:$X$1000,0),""))</f>
        <v/>
      </c>
      <c r="O113" s="11">
        <f>IF(N113="","",IF(ISNUMBER(MATCH(M113,Wires!$W$2:$W$1000,0)),"from","to"))</f>
        <v/>
      </c>
    </row>
    <row r="114">
      <c r="A114" s="9" t="inlineStr">
        <is>
          <t>DATABOX J1</t>
        </is>
      </c>
      <c r="B114" s="9" t="inlineStr">
        <is>
          <t>D</t>
        </is>
      </c>
      <c r="C114" s="9" t="inlineStr">
        <is>
          <t>CAN_PWT_H</t>
        </is>
      </c>
      <c r="D114" s="9" t="inlineStr">
        <is>
          <t>BIDIR</t>
        </is>
      </c>
      <c r="E114" s="9" t="inlineStr">
        <is>
          <t>5V</t>
        </is>
      </c>
      <c r="F114" s="11">
        <f>IF(N114="","",INDEX(Wires!$A$2:$A$1000,N114))</f>
        <v/>
      </c>
      <c r="G114" s="11">
        <f>IF(N114="","",INDEX(Wires!$C$2:$C$1000,N114))</f>
        <v/>
      </c>
      <c r="H114" s="11">
        <f>IF(N114="","",IF(O114="from",INDEX(Wires!$F$2:$F$1000,N114)&amp;":"&amp;INDEX(Wires!$G$2:$G$1000,N114),INDEX(Wires!$D$2:$D$1000,N114)&amp;":"&amp;INDEX(Wires!$E$2:$E$1000,N114)))</f>
        <v/>
      </c>
      <c r="I114" s="11">
        <f>IF(N114="","",INDEX(Wires!$H$2:$H$1000,N114)&amp;"")</f>
        <v/>
      </c>
      <c r="J114" s="11">
        <f>IF(N114="","",IF(INDEX(Wires!$I$2:$I$1000,N114)="","",INDEX(Wires!$I$2:$I$1000,N114)))</f>
        <v/>
      </c>
      <c r="K114" s="11">
        <f>COUNTIF(Wires!$W$2:$W$1000,M114)+COUNTIF(Wires!$X$2:$X$1000,M114)</f>
        <v/>
      </c>
      <c r="L114" s="11">
        <f>IF(AND(K114=0,C114&lt;&gt;"",D114&lt;&gt;"NC"),"pino com sinal mas sem fio; ","")&amp;IF(AND(D114="NC",K114&gt;0),"pino NC com fio; ","")&amp;IF(AND(K114&gt;1,ISERROR(MATCH(IFERROR(INDEX(Connectors!$D$2:$D$1000,MATCH(A114,Connectors!$A$2:$A$1000,0)),""),{"SPLICE","STUD"},0))),"vários fios no mesmo pino; ","")</f>
        <v/>
      </c>
      <c r="M114" s="11">
        <f>A114&amp;":"&amp;B114&amp;IF(EXACT(B114,UPPER(B114)),"","|lc")</f>
        <v/>
      </c>
      <c r="N114" s="11">
        <f>IFERROR(MATCH(M114,Wires!$W$2:$W$1000,0),IFERROR(MATCH(M114,Wires!$X$2:$X$1000,0),""))</f>
        <v/>
      </c>
      <c r="O114" s="11">
        <f>IF(N114="","",IF(ISNUMBER(MATCH(M114,Wires!$W$2:$W$1000,0)),"from","to"))</f>
        <v/>
      </c>
    </row>
    <row r="115">
      <c r="A115" s="9" t="inlineStr">
        <is>
          <t>DATABOX J1</t>
        </is>
      </c>
      <c r="B115" s="9" t="inlineStr">
        <is>
          <t>E</t>
        </is>
      </c>
      <c r="C115" s="9" t="inlineStr">
        <is>
          <t>CAN_AUT_L</t>
        </is>
      </c>
      <c r="D115" s="9" t="inlineStr">
        <is>
          <t>BIDIR</t>
        </is>
      </c>
      <c r="E115" s="9" t="inlineStr">
        <is>
          <t>5V</t>
        </is>
      </c>
      <c r="F115" s="11">
        <f>IF(N115="","",INDEX(Wires!$A$2:$A$1000,N115))</f>
        <v/>
      </c>
      <c r="G115" s="11">
        <f>IF(N115="","",INDEX(Wires!$C$2:$C$1000,N115))</f>
        <v/>
      </c>
      <c r="H115" s="11">
        <f>IF(N115="","",IF(O115="from",INDEX(Wires!$F$2:$F$1000,N115)&amp;":"&amp;INDEX(Wires!$G$2:$G$1000,N115),INDEX(Wires!$D$2:$D$1000,N115)&amp;":"&amp;INDEX(Wires!$E$2:$E$1000,N115)))</f>
        <v/>
      </c>
      <c r="I115" s="11">
        <f>IF(N115="","",INDEX(Wires!$H$2:$H$1000,N115)&amp;"")</f>
        <v/>
      </c>
      <c r="J115" s="11">
        <f>IF(N115="","",IF(INDEX(Wires!$I$2:$I$1000,N115)="","",INDEX(Wires!$I$2:$I$1000,N115)))</f>
        <v/>
      </c>
      <c r="K115" s="11">
        <f>COUNTIF(Wires!$W$2:$W$1000,M115)+COUNTIF(Wires!$X$2:$X$1000,M115)</f>
        <v/>
      </c>
      <c r="L115" s="11">
        <f>IF(AND(K115=0,C115&lt;&gt;"",D115&lt;&gt;"NC"),"pino com sinal mas sem fio; ","")&amp;IF(AND(D115="NC",K115&gt;0),"pino NC com fio; ","")&amp;IF(AND(K115&gt;1,ISERROR(MATCH(IFERROR(INDEX(Connectors!$D$2:$D$1000,MATCH(A115,Connectors!$A$2:$A$1000,0)),""),{"SPLICE","STUD"},0))),"vários fios no mesmo pino; ","")</f>
        <v/>
      </c>
      <c r="M115" s="11">
        <f>A115&amp;":"&amp;B115&amp;IF(EXACT(B115,UPPER(B115)),"","|lc")</f>
        <v/>
      </c>
      <c r="N115" s="11">
        <f>IFERROR(MATCH(M115,Wires!$W$2:$W$1000,0),IFERROR(MATCH(M115,Wires!$X$2:$X$1000,0),""))</f>
        <v/>
      </c>
      <c r="O115" s="11">
        <f>IF(N115="","",IF(ISNUMBER(MATCH(M115,Wires!$W$2:$W$1000,0)),"from","to"))</f>
        <v/>
      </c>
    </row>
    <row r="116">
      <c r="A116" s="9" t="inlineStr">
        <is>
          <t>DATABOX J1</t>
        </is>
      </c>
      <c r="B116" s="9" t="inlineStr">
        <is>
          <t>F</t>
        </is>
      </c>
      <c r="C116" s="9" t="inlineStr">
        <is>
          <t>CAN_AUT_H</t>
        </is>
      </c>
      <c r="D116" s="9" t="inlineStr">
        <is>
          <t>BIDIR</t>
        </is>
      </c>
      <c r="E116" s="9" t="inlineStr">
        <is>
          <t>5V</t>
        </is>
      </c>
      <c r="F116" s="11">
        <f>IF(N116="","",INDEX(Wires!$A$2:$A$1000,N116))</f>
        <v/>
      </c>
      <c r="G116" s="11">
        <f>IF(N116="","",INDEX(Wires!$C$2:$C$1000,N116))</f>
        <v/>
      </c>
      <c r="H116" s="11">
        <f>IF(N116="","",IF(O116="from",INDEX(Wires!$F$2:$F$1000,N116)&amp;":"&amp;INDEX(Wires!$G$2:$G$1000,N116),INDEX(Wires!$D$2:$D$1000,N116)&amp;":"&amp;INDEX(Wires!$E$2:$E$1000,N116)))</f>
        <v/>
      </c>
      <c r="I116" s="11">
        <f>IF(N116="","",INDEX(Wires!$H$2:$H$1000,N116)&amp;"")</f>
        <v/>
      </c>
      <c r="J116" s="11">
        <f>IF(N116="","",IF(INDEX(Wires!$I$2:$I$1000,N116)="","",INDEX(Wires!$I$2:$I$1000,N116)))</f>
        <v/>
      </c>
      <c r="K116" s="11">
        <f>COUNTIF(Wires!$W$2:$W$1000,M116)+COUNTIF(Wires!$X$2:$X$1000,M116)</f>
        <v/>
      </c>
      <c r="L116" s="11">
        <f>IF(AND(K116=0,C116&lt;&gt;"",D116&lt;&gt;"NC"),"pino com sinal mas sem fio; ","")&amp;IF(AND(D116="NC",K116&gt;0),"pino NC com fio; ","")&amp;IF(AND(K116&gt;1,ISERROR(MATCH(IFERROR(INDEX(Connectors!$D$2:$D$1000,MATCH(A116,Connectors!$A$2:$A$1000,0)),""),{"SPLICE","STUD"},0))),"vários fios no mesmo pino; ","")</f>
        <v/>
      </c>
      <c r="M116" s="11">
        <f>A116&amp;":"&amp;B116&amp;IF(EXACT(B116,UPPER(B116)),"","|lc")</f>
        <v/>
      </c>
      <c r="N116" s="11">
        <f>IFERROR(MATCH(M116,Wires!$W$2:$W$1000,0),IFERROR(MATCH(M116,Wires!$X$2:$X$1000,0),""))</f>
        <v/>
      </c>
      <c r="O116" s="11">
        <f>IF(N116="","",IF(ISNUMBER(MATCH(M116,Wires!$W$2:$W$1000,0)),"from","to"))</f>
        <v/>
      </c>
    </row>
    <row r="117">
      <c r="A117" s="9" t="inlineStr">
        <is>
          <t>DATABOX J1</t>
        </is>
      </c>
      <c r="B117" s="9" t="inlineStr">
        <is>
          <t>G</t>
        </is>
      </c>
      <c r="C117" s="9" t="inlineStr">
        <is>
          <t>CAN_Data_L</t>
        </is>
      </c>
      <c r="D117" s="9" t="inlineStr">
        <is>
          <t>BIDIR</t>
        </is>
      </c>
      <c r="E117" s="9" t="inlineStr">
        <is>
          <t>5V</t>
        </is>
      </c>
      <c r="F117" s="11">
        <f>IF(N117="","",INDEX(Wires!$A$2:$A$1000,N117))</f>
        <v/>
      </c>
      <c r="G117" s="11">
        <f>IF(N117="","",INDEX(Wires!$C$2:$C$1000,N117))</f>
        <v/>
      </c>
      <c r="H117" s="11">
        <f>IF(N117="","",IF(O117="from",INDEX(Wires!$F$2:$F$1000,N117)&amp;":"&amp;INDEX(Wires!$G$2:$G$1000,N117),INDEX(Wires!$D$2:$D$1000,N117)&amp;":"&amp;INDEX(Wires!$E$2:$E$1000,N117)))</f>
        <v/>
      </c>
      <c r="I117" s="11">
        <f>IF(N117="","",INDEX(Wires!$H$2:$H$1000,N117)&amp;"")</f>
        <v/>
      </c>
      <c r="J117" s="11">
        <f>IF(N117="","",IF(INDEX(Wires!$I$2:$I$1000,N117)="","",INDEX(Wires!$I$2:$I$1000,N117)))</f>
        <v/>
      </c>
      <c r="K117" s="11">
        <f>COUNTIF(Wires!$W$2:$W$1000,M117)+COUNTIF(Wires!$X$2:$X$1000,M117)</f>
        <v/>
      </c>
      <c r="L117" s="11">
        <f>IF(AND(K117=0,C117&lt;&gt;"",D117&lt;&gt;"NC"),"pino com sinal mas sem fio; ","")&amp;IF(AND(D117="NC",K117&gt;0),"pino NC com fio; ","")&amp;IF(AND(K117&gt;1,ISERROR(MATCH(IFERROR(INDEX(Connectors!$D$2:$D$1000,MATCH(A117,Connectors!$A$2:$A$1000,0)),""),{"SPLICE","STUD"},0))),"vários fios no mesmo pino; ","")</f>
        <v/>
      </c>
      <c r="M117" s="11">
        <f>A117&amp;":"&amp;B117&amp;IF(EXACT(B117,UPPER(B117)),"","|lc")</f>
        <v/>
      </c>
      <c r="N117" s="11">
        <f>IFERROR(MATCH(M117,Wires!$W$2:$W$1000,0),IFERROR(MATCH(M117,Wires!$X$2:$X$1000,0),""))</f>
        <v/>
      </c>
      <c r="O117" s="11">
        <f>IF(N117="","",IF(ISNUMBER(MATCH(M117,Wires!$W$2:$W$1000,0)),"from","to"))</f>
        <v/>
      </c>
    </row>
    <row r="118">
      <c r="A118" s="9" t="inlineStr">
        <is>
          <t>DATABOX J1</t>
        </is>
      </c>
      <c r="B118" s="9" t="inlineStr">
        <is>
          <t>H</t>
        </is>
      </c>
      <c r="C118" s="9" t="inlineStr">
        <is>
          <t>CAN_Data_H</t>
        </is>
      </c>
      <c r="D118" s="9" t="inlineStr">
        <is>
          <t>BIDIR</t>
        </is>
      </c>
      <c r="E118" s="9" t="inlineStr">
        <is>
          <t>5V</t>
        </is>
      </c>
      <c r="F118" s="11">
        <f>IF(N118="","",INDEX(Wires!$A$2:$A$1000,N118))</f>
        <v/>
      </c>
      <c r="G118" s="11">
        <f>IF(N118="","",INDEX(Wires!$C$2:$C$1000,N118))</f>
        <v/>
      </c>
      <c r="H118" s="11">
        <f>IF(N118="","",IF(O118="from",INDEX(Wires!$F$2:$F$1000,N118)&amp;":"&amp;INDEX(Wires!$G$2:$G$1000,N118),INDEX(Wires!$D$2:$D$1000,N118)&amp;":"&amp;INDEX(Wires!$E$2:$E$1000,N118)))</f>
        <v/>
      </c>
      <c r="I118" s="11">
        <f>IF(N118="","",INDEX(Wires!$H$2:$H$1000,N118)&amp;"")</f>
        <v/>
      </c>
      <c r="J118" s="11">
        <f>IF(N118="","",IF(INDEX(Wires!$I$2:$I$1000,N118)="","",INDEX(Wires!$I$2:$I$1000,N118)))</f>
        <v/>
      </c>
      <c r="K118" s="11">
        <f>COUNTIF(Wires!$W$2:$W$1000,M118)+COUNTIF(Wires!$X$2:$X$1000,M118)</f>
        <v/>
      </c>
      <c r="L118" s="11">
        <f>IF(AND(K118=0,C118&lt;&gt;"",D118&lt;&gt;"NC"),"pino com sinal mas sem fio; ","")&amp;IF(AND(D118="NC",K118&gt;0),"pino NC com fio; ","")&amp;IF(AND(K118&gt;1,ISERROR(MATCH(IFERROR(INDEX(Connectors!$D$2:$D$1000,MATCH(A118,Connectors!$A$2:$A$1000,0)),""),{"SPLICE","STUD"},0))),"vários fios no mesmo pino; ","")</f>
        <v/>
      </c>
      <c r="M118" s="11">
        <f>A118&amp;":"&amp;B118&amp;IF(EXACT(B118,UPPER(B118)),"","|lc")</f>
        <v/>
      </c>
      <c r="N118" s="11">
        <f>IFERROR(MATCH(M118,Wires!$W$2:$W$1000,0),IFERROR(MATCH(M118,Wires!$X$2:$X$1000,0),""))</f>
        <v/>
      </c>
      <c r="O118" s="11">
        <f>IF(N118="","",IF(ISNUMBER(MATCH(M118,Wires!$W$2:$W$1000,0)),"from","to"))</f>
        <v/>
      </c>
    </row>
    <row r="119">
      <c r="A119" s="9" t="inlineStr">
        <is>
          <t>DATABOX J1</t>
        </is>
      </c>
      <c r="B119" s="9" t="inlineStr">
        <is>
          <t>J</t>
        </is>
      </c>
      <c r="C119" s="9" t="inlineStr">
        <is>
          <t>ST_ANGLE_Supply</t>
        </is>
      </c>
      <c r="D119" s="9" t="inlineStr">
        <is>
          <t>OUT</t>
        </is>
      </c>
      <c r="E119" s="9" t="inlineStr">
        <is>
          <t>5V</t>
        </is>
      </c>
      <c r="F119" s="11">
        <f>IF(N119="","",INDEX(Wires!$A$2:$A$1000,N119))</f>
        <v/>
      </c>
      <c r="G119" s="11">
        <f>IF(N119="","",INDEX(Wires!$C$2:$C$1000,N119))</f>
        <v/>
      </c>
      <c r="H119" s="11">
        <f>IF(N119="","",IF(O119="from",INDEX(Wires!$F$2:$F$1000,N119)&amp;":"&amp;INDEX(Wires!$G$2:$G$1000,N119),INDEX(Wires!$D$2:$D$1000,N119)&amp;":"&amp;INDEX(Wires!$E$2:$E$1000,N119)))</f>
        <v/>
      </c>
      <c r="I119" s="11">
        <f>IF(N119="","",INDEX(Wires!$H$2:$H$1000,N119)&amp;"")</f>
        <v/>
      </c>
      <c r="J119" s="11">
        <f>IF(N119="","",IF(INDEX(Wires!$I$2:$I$1000,N119)="","",INDEX(Wires!$I$2:$I$1000,N119)))</f>
        <v/>
      </c>
      <c r="K119" s="11">
        <f>COUNTIF(Wires!$W$2:$W$1000,M119)+COUNTIF(Wires!$X$2:$X$1000,M119)</f>
        <v/>
      </c>
      <c r="L119" s="11">
        <f>IF(AND(K119=0,C119&lt;&gt;"",D119&lt;&gt;"NC"),"pino com sinal mas sem fio; ","")&amp;IF(AND(D119="NC",K119&gt;0),"pino NC com fio; ","")&amp;IF(AND(K119&gt;1,ISERROR(MATCH(IFERROR(INDEX(Connectors!$D$2:$D$1000,MATCH(A119,Connectors!$A$2:$A$1000,0)),""),{"SPLICE","STUD"},0))),"vários fios no mesmo pino; ","")</f>
        <v/>
      </c>
      <c r="M119" s="11">
        <f>A119&amp;":"&amp;B119&amp;IF(EXACT(B119,UPPER(B119)),"","|lc")</f>
        <v/>
      </c>
      <c r="N119" s="11">
        <f>IFERROR(MATCH(M119,Wires!$W$2:$W$1000,0),IFERROR(MATCH(M119,Wires!$X$2:$X$1000,0),""))</f>
        <v/>
      </c>
      <c r="O119" s="11">
        <f>IF(N119="","",IF(ISNUMBER(MATCH(M119,Wires!$W$2:$W$1000,0)),"from","to"))</f>
        <v/>
      </c>
    </row>
    <row r="120">
      <c r="A120" s="9" t="inlineStr">
        <is>
          <t>DATABOX J1</t>
        </is>
      </c>
      <c r="B120" s="9" t="inlineStr">
        <is>
          <t>K</t>
        </is>
      </c>
      <c r="C120" s="9" t="inlineStr">
        <is>
          <t>ST_Angle</t>
        </is>
      </c>
      <c r="D120" s="9" t="inlineStr">
        <is>
          <t>IN</t>
        </is>
      </c>
      <c r="E120" s="9" t="inlineStr">
        <is>
          <t>5V</t>
        </is>
      </c>
      <c r="F120" s="11">
        <f>IF(N120="","",INDEX(Wires!$A$2:$A$1000,N120))</f>
        <v/>
      </c>
      <c r="G120" s="11">
        <f>IF(N120="","",INDEX(Wires!$C$2:$C$1000,N120))</f>
        <v/>
      </c>
      <c r="H120" s="11">
        <f>IF(N120="","",IF(O120="from",INDEX(Wires!$F$2:$F$1000,N120)&amp;":"&amp;INDEX(Wires!$G$2:$G$1000,N120),INDEX(Wires!$D$2:$D$1000,N120)&amp;":"&amp;INDEX(Wires!$E$2:$E$1000,N120)))</f>
        <v/>
      </c>
      <c r="I120" s="11">
        <f>IF(N120="","",INDEX(Wires!$H$2:$H$1000,N120)&amp;"")</f>
        <v/>
      </c>
      <c r="J120" s="11">
        <f>IF(N120="","",IF(INDEX(Wires!$I$2:$I$1000,N120)="","",INDEX(Wires!$I$2:$I$1000,N120)))</f>
        <v/>
      </c>
      <c r="K120" s="11">
        <f>COUNTIF(Wires!$W$2:$W$1000,M120)+COUNTIF(Wires!$X$2:$X$1000,M120)</f>
        <v/>
      </c>
      <c r="L120" s="11">
        <f>IF(AND(K120=0,C120&lt;&gt;"",D120&lt;&gt;"NC"),"pino com sinal mas sem fio; ","")&amp;IF(AND(D120="NC",K120&gt;0),"pino NC com fio; ","")&amp;IF(AND(K120&gt;1,ISERROR(MATCH(IFERROR(INDEX(Connectors!$D$2:$D$1000,MATCH(A120,Connectors!$A$2:$A$1000,0)),""),{"SPLICE","STUD"},0))),"vários fios no mesmo pino; ","")</f>
        <v/>
      </c>
      <c r="M120" s="11">
        <f>A120&amp;":"&amp;B120&amp;IF(EXACT(B120,UPPER(B120)),"","|lc")</f>
        <v/>
      </c>
      <c r="N120" s="11">
        <f>IFERROR(MATCH(M120,Wires!$W$2:$W$1000,0),IFERROR(MATCH(M120,Wires!$X$2:$X$1000,0),""))</f>
        <v/>
      </c>
      <c r="O120" s="11">
        <f>IF(N120="","",IF(ISNUMBER(MATCH(M120,Wires!$W$2:$W$1000,0)),"from","to"))</f>
        <v/>
      </c>
    </row>
    <row r="121">
      <c r="A121" s="9" t="inlineStr">
        <is>
          <t>DATABOX J1</t>
        </is>
      </c>
      <c r="B121" s="9" t="inlineStr">
        <is>
          <t>L</t>
        </is>
      </c>
      <c r="C121" s="9" t="inlineStr">
        <is>
          <t>ST_ANGLE_GROUND</t>
        </is>
      </c>
      <c r="D121" s="9" t="inlineStr">
        <is>
          <t>OUT</t>
        </is>
      </c>
      <c r="E121" s="9" t="inlineStr">
        <is>
          <t>0V</t>
        </is>
      </c>
      <c r="F121" s="11">
        <f>IF(N121="","",INDEX(Wires!$A$2:$A$1000,N121))</f>
        <v/>
      </c>
      <c r="G121" s="11">
        <f>IF(N121="","",INDEX(Wires!$C$2:$C$1000,N121))</f>
        <v/>
      </c>
      <c r="H121" s="11">
        <f>IF(N121="","",IF(O121="from",INDEX(Wires!$F$2:$F$1000,N121)&amp;":"&amp;INDEX(Wires!$G$2:$G$1000,N121),INDEX(Wires!$D$2:$D$1000,N121)&amp;":"&amp;INDEX(Wires!$E$2:$E$1000,N121)))</f>
        <v/>
      </c>
      <c r="I121" s="11">
        <f>IF(N121="","",INDEX(Wires!$H$2:$H$1000,N121)&amp;"")</f>
        <v/>
      </c>
      <c r="J121" s="11">
        <f>IF(N121="","",IF(INDEX(Wires!$I$2:$I$1000,N121)="","",INDEX(Wires!$I$2:$I$1000,N121)))</f>
        <v/>
      </c>
      <c r="K121" s="11">
        <f>COUNTIF(Wires!$W$2:$W$1000,M121)+COUNTIF(Wires!$X$2:$X$1000,M121)</f>
        <v/>
      </c>
      <c r="L121" s="11">
        <f>IF(AND(K121=0,C121&lt;&gt;"",D121&lt;&gt;"NC"),"pino com sinal mas sem fio; ","")&amp;IF(AND(D121="NC",K121&gt;0),"pino NC com fio; ","")&amp;IF(AND(K121&gt;1,ISERROR(MATCH(IFERROR(INDEX(Connectors!$D$2:$D$1000,MATCH(A121,Connectors!$A$2:$A$1000,0)),""),{"SPLICE","STUD"},0))),"vários fios no mesmo pino; ","")</f>
        <v/>
      </c>
      <c r="M121" s="11">
        <f>A121&amp;":"&amp;B121&amp;IF(EXACT(B121,UPPER(B121)),"","|lc")</f>
        <v/>
      </c>
      <c r="N121" s="11">
        <f>IFERROR(MATCH(M121,Wires!$W$2:$W$1000,0),IFERROR(MATCH(M121,Wires!$X$2:$X$1000,0),""))</f>
        <v/>
      </c>
      <c r="O121" s="11">
        <f>IF(N121="","",IF(ISNUMBER(MATCH(M121,Wires!$W$2:$W$1000,0)),"from","to"))</f>
        <v/>
      </c>
    </row>
    <row r="122">
      <c r="A122" s="9" t="inlineStr">
        <is>
          <t>DATABOX J1</t>
        </is>
      </c>
      <c r="B122" s="9" t="inlineStr">
        <is>
          <t>M</t>
        </is>
      </c>
      <c r="C122" s="9" t="inlineStr">
        <is>
          <t>SUSP_LEFT_Supply</t>
        </is>
      </c>
      <c r="D122" s="9" t="inlineStr">
        <is>
          <t>OUT</t>
        </is>
      </c>
      <c r="E122" s="9" t="inlineStr">
        <is>
          <t>5V</t>
        </is>
      </c>
      <c r="F122" s="11">
        <f>IF(N122="","",INDEX(Wires!$A$2:$A$1000,N122))</f>
        <v/>
      </c>
      <c r="G122" s="11">
        <f>IF(N122="","",INDEX(Wires!$C$2:$C$1000,N122))</f>
        <v/>
      </c>
      <c r="H122" s="11">
        <f>IF(N122="","",IF(O122="from",INDEX(Wires!$F$2:$F$1000,N122)&amp;":"&amp;INDEX(Wires!$G$2:$G$1000,N122),INDEX(Wires!$D$2:$D$1000,N122)&amp;":"&amp;INDEX(Wires!$E$2:$E$1000,N122)))</f>
        <v/>
      </c>
      <c r="I122" s="11">
        <f>IF(N122="","",INDEX(Wires!$H$2:$H$1000,N122)&amp;"")</f>
        <v/>
      </c>
      <c r="J122" s="11">
        <f>IF(N122="","",IF(INDEX(Wires!$I$2:$I$1000,N122)="","",INDEX(Wires!$I$2:$I$1000,N122)))</f>
        <v/>
      </c>
      <c r="K122" s="11">
        <f>COUNTIF(Wires!$W$2:$W$1000,M122)+COUNTIF(Wires!$X$2:$X$1000,M122)</f>
        <v/>
      </c>
      <c r="L122" s="11">
        <f>IF(AND(K122=0,C122&lt;&gt;"",D122&lt;&gt;"NC"),"pino com sinal mas sem fio; ","")&amp;IF(AND(D122="NC",K122&gt;0),"pino NC com fio; ","")&amp;IF(AND(K122&gt;1,ISERROR(MATCH(IFERROR(INDEX(Connectors!$D$2:$D$1000,MATCH(A122,Connectors!$A$2:$A$1000,0)),""),{"SPLICE","STUD"},0))),"vários fios no mesmo pino; ","")</f>
        <v/>
      </c>
      <c r="M122" s="11">
        <f>A122&amp;":"&amp;B122&amp;IF(EXACT(B122,UPPER(B122)),"","|lc")</f>
        <v/>
      </c>
      <c r="N122" s="11">
        <f>IFERROR(MATCH(M122,Wires!$W$2:$W$1000,0),IFERROR(MATCH(M122,Wires!$X$2:$X$1000,0),""))</f>
        <v/>
      </c>
      <c r="O122" s="11">
        <f>IF(N122="","",IF(ISNUMBER(MATCH(M122,Wires!$W$2:$W$1000,0)),"from","to"))</f>
        <v/>
      </c>
    </row>
    <row r="123">
      <c r="A123" s="9" t="inlineStr">
        <is>
          <t>DATABOX J1</t>
        </is>
      </c>
      <c r="B123" s="9" t="inlineStr">
        <is>
          <t>N</t>
        </is>
      </c>
      <c r="C123" s="9" t="inlineStr">
        <is>
          <t>SUSP_LEFT</t>
        </is>
      </c>
      <c r="D123" s="9" t="inlineStr">
        <is>
          <t>IN</t>
        </is>
      </c>
      <c r="E123" s="9" t="inlineStr">
        <is>
          <t>5V</t>
        </is>
      </c>
      <c r="F123" s="11">
        <f>IF(N123="","",INDEX(Wires!$A$2:$A$1000,N123))</f>
        <v/>
      </c>
      <c r="G123" s="11">
        <f>IF(N123="","",INDEX(Wires!$C$2:$C$1000,N123))</f>
        <v/>
      </c>
      <c r="H123" s="11">
        <f>IF(N123="","",IF(O123="from",INDEX(Wires!$F$2:$F$1000,N123)&amp;":"&amp;INDEX(Wires!$G$2:$G$1000,N123),INDEX(Wires!$D$2:$D$1000,N123)&amp;":"&amp;INDEX(Wires!$E$2:$E$1000,N123)))</f>
        <v/>
      </c>
      <c r="I123" s="11">
        <f>IF(N123="","",INDEX(Wires!$H$2:$H$1000,N123)&amp;"")</f>
        <v/>
      </c>
      <c r="J123" s="11">
        <f>IF(N123="","",IF(INDEX(Wires!$I$2:$I$1000,N123)="","",INDEX(Wires!$I$2:$I$1000,N123)))</f>
        <v/>
      </c>
      <c r="K123" s="11">
        <f>COUNTIF(Wires!$W$2:$W$1000,M123)+COUNTIF(Wires!$X$2:$X$1000,M123)</f>
        <v/>
      </c>
      <c r="L123" s="11">
        <f>IF(AND(K123=0,C123&lt;&gt;"",D123&lt;&gt;"NC"),"pino com sinal mas sem fio; ","")&amp;IF(AND(D123="NC",K123&gt;0),"pino NC com fio; ","")&amp;IF(AND(K123&gt;1,ISERROR(MATCH(IFERROR(INDEX(Connectors!$D$2:$D$1000,MATCH(A123,Connectors!$A$2:$A$1000,0)),""),{"SPLICE","STUD"},0))),"vários fios no mesmo pino; ","")</f>
        <v/>
      </c>
      <c r="M123" s="11">
        <f>A123&amp;":"&amp;B123&amp;IF(EXACT(B123,UPPER(B123)),"","|lc")</f>
        <v/>
      </c>
      <c r="N123" s="11">
        <f>IFERROR(MATCH(M123,Wires!$W$2:$W$1000,0),IFERROR(MATCH(M123,Wires!$X$2:$X$1000,0),""))</f>
        <v/>
      </c>
      <c r="O123" s="11">
        <f>IF(N123="","",IF(ISNUMBER(MATCH(M123,Wires!$W$2:$W$1000,0)),"from","to"))</f>
        <v/>
      </c>
    </row>
    <row r="124">
      <c r="A124" s="9" t="inlineStr">
        <is>
          <t>DATABOX J1</t>
        </is>
      </c>
      <c r="B124" s="9" t="inlineStr">
        <is>
          <t>P</t>
        </is>
      </c>
      <c r="C124" s="9" t="inlineStr">
        <is>
          <t>SUSP_LEFT_GROUND</t>
        </is>
      </c>
      <c r="D124" s="9" t="inlineStr">
        <is>
          <t>OUT</t>
        </is>
      </c>
      <c r="E124" s="9" t="inlineStr">
        <is>
          <t>0V</t>
        </is>
      </c>
      <c r="F124" s="11">
        <f>IF(N124="","",INDEX(Wires!$A$2:$A$1000,N124))</f>
        <v/>
      </c>
      <c r="G124" s="11">
        <f>IF(N124="","",INDEX(Wires!$C$2:$C$1000,N124))</f>
        <v/>
      </c>
      <c r="H124" s="11">
        <f>IF(N124="","",IF(O124="from",INDEX(Wires!$F$2:$F$1000,N124)&amp;":"&amp;INDEX(Wires!$G$2:$G$1000,N124),INDEX(Wires!$D$2:$D$1000,N124)&amp;":"&amp;INDEX(Wires!$E$2:$E$1000,N124)))</f>
        <v/>
      </c>
      <c r="I124" s="11">
        <f>IF(N124="","",INDEX(Wires!$H$2:$H$1000,N124)&amp;"")</f>
        <v/>
      </c>
      <c r="J124" s="11">
        <f>IF(N124="","",IF(INDEX(Wires!$I$2:$I$1000,N124)="","",INDEX(Wires!$I$2:$I$1000,N124)))</f>
        <v/>
      </c>
      <c r="K124" s="11">
        <f>COUNTIF(Wires!$W$2:$W$1000,M124)+COUNTIF(Wires!$X$2:$X$1000,M124)</f>
        <v/>
      </c>
      <c r="L124" s="11">
        <f>IF(AND(K124=0,C124&lt;&gt;"",D124&lt;&gt;"NC"),"pino com sinal mas sem fio; ","")&amp;IF(AND(D124="NC",K124&gt;0),"pino NC com fio; ","")&amp;IF(AND(K124&gt;1,ISERROR(MATCH(IFERROR(INDEX(Connectors!$D$2:$D$1000,MATCH(A124,Connectors!$A$2:$A$1000,0)),""),{"SPLICE","STUD"},0))),"vários fios no mesmo pino; ","")</f>
        <v/>
      </c>
      <c r="M124" s="11">
        <f>A124&amp;":"&amp;B124&amp;IF(EXACT(B124,UPPER(B124)),"","|lc")</f>
        <v/>
      </c>
      <c r="N124" s="11">
        <f>IFERROR(MATCH(M124,Wires!$W$2:$W$1000,0),IFERROR(MATCH(M124,Wires!$X$2:$X$1000,0),""))</f>
        <v/>
      </c>
      <c r="O124" s="11">
        <f>IF(N124="","",IF(ISNUMBER(MATCH(M124,Wires!$W$2:$W$1000,0)),"from","to"))</f>
        <v/>
      </c>
    </row>
    <row r="125">
      <c r="A125" s="9" t="inlineStr">
        <is>
          <t>DATABOX J1</t>
        </is>
      </c>
      <c r="B125" s="9" t="inlineStr">
        <is>
          <t>R</t>
        </is>
      </c>
      <c r="C125" s="9" t="inlineStr">
        <is>
          <t>SUSP_RIGHT_Supply</t>
        </is>
      </c>
      <c r="D125" s="9" t="inlineStr">
        <is>
          <t>OUT</t>
        </is>
      </c>
      <c r="E125" s="9" t="inlineStr">
        <is>
          <t>5V</t>
        </is>
      </c>
      <c r="F125" s="11">
        <f>IF(N125="","",INDEX(Wires!$A$2:$A$1000,N125))</f>
        <v/>
      </c>
      <c r="G125" s="11">
        <f>IF(N125="","",INDEX(Wires!$C$2:$C$1000,N125))</f>
        <v/>
      </c>
      <c r="H125" s="11">
        <f>IF(N125="","",IF(O125="from",INDEX(Wires!$F$2:$F$1000,N125)&amp;":"&amp;INDEX(Wires!$G$2:$G$1000,N125),INDEX(Wires!$D$2:$D$1000,N125)&amp;":"&amp;INDEX(Wires!$E$2:$E$1000,N125)))</f>
        <v/>
      </c>
      <c r="I125" s="11">
        <f>IF(N125="","",INDEX(Wires!$H$2:$H$1000,N125)&amp;"")</f>
        <v/>
      </c>
      <c r="J125" s="11">
        <f>IF(N125="","",IF(INDEX(Wires!$I$2:$I$1000,N125)="","",INDEX(Wires!$I$2:$I$1000,N125)))</f>
        <v/>
      </c>
      <c r="K125" s="11">
        <f>COUNTIF(Wires!$W$2:$W$1000,M125)+COUNTIF(Wires!$X$2:$X$1000,M125)</f>
        <v/>
      </c>
      <c r="L125" s="11">
        <f>IF(AND(K125=0,C125&lt;&gt;"",D125&lt;&gt;"NC"),"pino com sinal mas sem fio; ","")&amp;IF(AND(D125="NC",K125&gt;0),"pino NC com fio; ","")&amp;IF(AND(K125&gt;1,ISERROR(MATCH(IFERROR(INDEX(Connectors!$D$2:$D$1000,MATCH(A125,Connectors!$A$2:$A$1000,0)),""),{"SPLICE","STUD"},0))),"vários fios no mesmo pino; ","")</f>
        <v/>
      </c>
      <c r="M125" s="11">
        <f>A125&amp;":"&amp;B125&amp;IF(EXACT(B125,UPPER(B125)),"","|lc")</f>
        <v/>
      </c>
      <c r="N125" s="11">
        <f>IFERROR(MATCH(M125,Wires!$W$2:$W$1000,0),IFERROR(MATCH(M125,Wires!$X$2:$X$1000,0),""))</f>
        <v/>
      </c>
      <c r="O125" s="11">
        <f>IF(N125="","",IF(ISNUMBER(MATCH(M125,Wires!$W$2:$W$1000,0)),"from","to"))</f>
        <v/>
      </c>
    </row>
    <row r="126">
      <c r="A126" s="9" t="inlineStr">
        <is>
          <t>DATABOX J1</t>
        </is>
      </c>
      <c r="B126" s="9" t="inlineStr">
        <is>
          <t>S</t>
        </is>
      </c>
      <c r="C126" s="9" t="inlineStr">
        <is>
          <t>SUSP_RIGHT</t>
        </is>
      </c>
      <c r="D126" s="9" t="inlineStr">
        <is>
          <t>IN</t>
        </is>
      </c>
      <c r="E126" s="9" t="inlineStr">
        <is>
          <t>5V</t>
        </is>
      </c>
      <c r="F126" s="11">
        <f>IF(N126="","",INDEX(Wires!$A$2:$A$1000,N126))</f>
        <v/>
      </c>
      <c r="G126" s="11">
        <f>IF(N126="","",INDEX(Wires!$C$2:$C$1000,N126))</f>
        <v/>
      </c>
      <c r="H126" s="11">
        <f>IF(N126="","",IF(O126="from",INDEX(Wires!$F$2:$F$1000,N126)&amp;":"&amp;INDEX(Wires!$G$2:$G$1000,N126),INDEX(Wires!$D$2:$D$1000,N126)&amp;":"&amp;INDEX(Wires!$E$2:$E$1000,N126)))</f>
        <v/>
      </c>
      <c r="I126" s="11">
        <f>IF(N126="","",INDEX(Wires!$H$2:$H$1000,N126)&amp;"")</f>
        <v/>
      </c>
      <c r="J126" s="11">
        <f>IF(N126="","",IF(INDEX(Wires!$I$2:$I$1000,N126)="","",INDEX(Wires!$I$2:$I$1000,N126)))</f>
        <v/>
      </c>
      <c r="K126" s="11">
        <f>COUNTIF(Wires!$W$2:$W$1000,M126)+COUNTIF(Wires!$X$2:$X$1000,M126)</f>
        <v/>
      </c>
      <c r="L126" s="11">
        <f>IF(AND(K126=0,C126&lt;&gt;"",D126&lt;&gt;"NC"),"pino com sinal mas sem fio; ","")&amp;IF(AND(D126="NC",K126&gt;0),"pino NC com fio; ","")&amp;IF(AND(K126&gt;1,ISERROR(MATCH(IFERROR(INDEX(Connectors!$D$2:$D$1000,MATCH(A126,Connectors!$A$2:$A$1000,0)),""),{"SPLICE","STUD"},0))),"vários fios no mesmo pino; ","")</f>
        <v/>
      </c>
      <c r="M126" s="11">
        <f>A126&amp;":"&amp;B126&amp;IF(EXACT(B126,UPPER(B126)),"","|lc")</f>
        <v/>
      </c>
      <c r="N126" s="11">
        <f>IFERROR(MATCH(M126,Wires!$W$2:$W$1000,0),IFERROR(MATCH(M126,Wires!$X$2:$X$1000,0),""))</f>
        <v/>
      </c>
      <c r="O126" s="11">
        <f>IF(N126="","",IF(ISNUMBER(MATCH(M126,Wires!$W$2:$W$1000,0)),"from","to"))</f>
        <v/>
      </c>
    </row>
    <row r="127">
      <c r="A127" s="9" t="inlineStr">
        <is>
          <t>DATABOX J1</t>
        </is>
      </c>
      <c r="B127" s="9" t="inlineStr">
        <is>
          <t>T</t>
        </is>
      </c>
      <c r="C127" s="9" t="inlineStr">
        <is>
          <t>SUSP_RIGHT_GROUND</t>
        </is>
      </c>
      <c r="D127" s="9" t="inlineStr">
        <is>
          <t>OUT</t>
        </is>
      </c>
      <c r="E127" s="9" t="inlineStr">
        <is>
          <t>0V</t>
        </is>
      </c>
      <c r="F127" s="11">
        <f>IF(N127="","",INDEX(Wires!$A$2:$A$1000,N127))</f>
        <v/>
      </c>
      <c r="G127" s="11">
        <f>IF(N127="","",INDEX(Wires!$C$2:$C$1000,N127))</f>
        <v/>
      </c>
      <c r="H127" s="11">
        <f>IF(N127="","",IF(O127="from",INDEX(Wires!$F$2:$F$1000,N127)&amp;":"&amp;INDEX(Wires!$G$2:$G$1000,N127),INDEX(Wires!$D$2:$D$1000,N127)&amp;":"&amp;INDEX(Wires!$E$2:$E$1000,N127)))</f>
        <v/>
      </c>
      <c r="I127" s="11">
        <f>IF(N127="","",INDEX(Wires!$H$2:$H$1000,N127)&amp;"")</f>
        <v/>
      </c>
      <c r="J127" s="11">
        <f>IF(N127="","",IF(INDEX(Wires!$I$2:$I$1000,N127)="","",INDEX(Wires!$I$2:$I$1000,N127)))</f>
        <v/>
      </c>
      <c r="K127" s="11">
        <f>COUNTIF(Wires!$W$2:$W$1000,M127)+COUNTIF(Wires!$X$2:$X$1000,M127)</f>
        <v/>
      </c>
      <c r="L127" s="11">
        <f>IF(AND(K127=0,C127&lt;&gt;"",D127&lt;&gt;"NC"),"pino com sinal mas sem fio; ","")&amp;IF(AND(D127="NC",K127&gt;0),"pino NC com fio; ","")&amp;IF(AND(K127&gt;1,ISERROR(MATCH(IFERROR(INDEX(Connectors!$D$2:$D$1000,MATCH(A127,Connectors!$A$2:$A$1000,0)),""),{"SPLICE","STUD"},0))),"vários fios no mesmo pino; ","")</f>
        <v/>
      </c>
      <c r="M127" s="11">
        <f>A127&amp;":"&amp;B127&amp;IF(EXACT(B127,UPPER(B127)),"","|lc")</f>
        <v/>
      </c>
      <c r="N127" s="11">
        <f>IFERROR(MATCH(M127,Wires!$W$2:$W$1000,0),IFERROR(MATCH(M127,Wires!$X$2:$X$1000,0),""))</f>
        <v/>
      </c>
      <c r="O127" s="11">
        <f>IF(N127="","",IF(ISNUMBER(MATCH(M127,Wires!$W$2:$W$1000,0)),"from","to"))</f>
        <v/>
      </c>
    </row>
    <row r="128">
      <c r="A128" s="9" t="inlineStr">
        <is>
          <t>DATABOX J1</t>
        </is>
      </c>
      <c r="B128" s="9" t="inlineStr">
        <is>
          <t>U</t>
        </is>
      </c>
      <c r="C128" s="9" t="inlineStr">
        <is>
          <t>RaspBerry Supply</t>
        </is>
      </c>
      <c r="D128" s="9" t="inlineStr">
        <is>
          <t>OUT</t>
        </is>
      </c>
      <c r="E128" s="9" t="inlineStr">
        <is>
          <t>24V</t>
        </is>
      </c>
      <c r="F128" s="11">
        <f>IF(N128="","",INDEX(Wires!$A$2:$A$1000,N128))</f>
        <v/>
      </c>
      <c r="G128" s="11">
        <f>IF(N128="","",INDEX(Wires!$C$2:$C$1000,N128))</f>
        <v/>
      </c>
      <c r="H128" s="11">
        <f>IF(N128="","",IF(O128="from",INDEX(Wires!$F$2:$F$1000,N128)&amp;":"&amp;INDEX(Wires!$G$2:$G$1000,N128),INDEX(Wires!$D$2:$D$1000,N128)&amp;":"&amp;INDEX(Wires!$E$2:$E$1000,N128)))</f>
        <v/>
      </c>
      <c r="I128" s="11">
        <f>IF(N128="","",INDEX(Wires!$H$2:$H$1000,N128)&amp;"")</f>
        <v/>
      </c>
      <c r="J128" s="11">
        <f>IF(N128="","",IF(INDEX(Wires!$I$2:$I$1000,N128)="","",INDEX(Wires!$I$2:$I$1000,N128)))</f>
        <v/>
      </c>
      <c r="K128" s="11">
        <f>COUNTIF(Wires!$W$2:$W$1000,M128)+COUNTIF(Wires!$X$2:$X$1000,M128)</f>
        <v/>
      </c>
      <c r="L128" s="11">
        <f>IF(AND(K128=0,C128&lt;&gt;"",D128&lt;&gt;"NC"),"pino com sinal mas sem fio; ","")&amp;IF(AND(D128="NC",K128&gt;0),"pino NC com fio; ","")&amp;IF(AND(K128&gt;1,ISERROR(MATCH(IFERROR(INDEX(Connectors!$D$2:$D$1000,MATCH(A128,Connectors!$A$2:$A$1000,0)),""),{"SPLICE","STUD"},0))),"vários fios no mesmo pino; ","")</f>
        <v/>
      </c>
      <c r="M128" s="11">
        <f>A128&amp;":"&amp;B128&amp;IF(EXACT(B128,UPPER(B128)),"","|lc")</f>
        <v/>
      </c>
      <c r="N128" s="11">
        <f>IFERROR(MATCH(M128,Wires!$W$2:$W$1000,0),IFERROR(MATCH(M128,Wires!$X$2:$X$1000,0),""))</f>
        <v/>
      </c>
      <c r="O128" s="11">
        <f>IF(N128="","",IF(ISNUMBER(MATCH(M128,Wires!$W$2:$W$1000,0)),"from","to"))</f>
        <v/>
      </c>
    </row>
    <row r="129">
      <c r="A129" s="9" t="inlineStr">
        <is>
          <t>DATABOX J1</t>
        </is>
      </c>
      <c r="B129" s="9" t="inlineStr">
        <is>
          <t>V</t>
        </is>
      </c>
      <c r="C129" s="9" t="inlineStr">
        <is>
          <t>RaspBerry GND</t>
        </is>
      </c>
      <c r="D129" s="9" t="inlineStr">
        <is>
          <t>OUT</t>
        </is>
      </c>
      <c r="E129" s="9" t="inlineStr">
        <is>
          <t>0V</t>
        </is>
      </c>
      <c r="F129" s="11">
        <f>IF(N129="","",INDEX(Wires!$A$2:$A$1000,N129))</f>
        <v/>
      </c>
      <c r="G129" s="11">
        <f>IF(N129="","",INDEX(Wires!$C$2:$C$1000,N129))</f>
        <v/>
      </c>
      <c r="H129" s="11">
        <f>IF(N129="","",IF(O129="from",INDEX(Wires!$F$2:$F$1000,N129)&amp;":"&amp;INDEX(Wires!$G$2:$G$1000,N129),INDEX(Wires!$D$2:$D$1000,N129)&amp;":"&amp;INDEX(Wires!$E$2:$E$1000,N129)))</f>
        <v/>
      </c>
      <c r="I129" s="11">
        <f>IF(N129="","",INDEX(Wires!$H$2:$H$1000,N129)&amp;"")</f>
        <v/>
      </c>
      <c r="J129" s="11">
        <f>IF(N129="","",IF(INDEX(Wires!$I$2:$I$1000,N129)="","",INDEX(Wires!$I$2:$I$1000,N129)))</f>
        <v/>
      </c>
      <c r="K129" s="11">
        <f>COUNTIF(Wires!$W$2:$W$1000,M129)+COUNTIF(Wires!$X$2:$X$1000,M129)</f>
        <v/>
      </c>
      <c r="L129" s="11">
        <f>IF(AND(K129=0,C129&lt;&gt;"",D129&lt;&gt;"NC"),"pino com sinal mas sem fio; ","")&amp;IF(AND(D129="NC",K129&gt;0),"pino NC com fio; ","")&amp;IF(AND(K129&gt;1,ISERROR(MATCH(IFERROR(INDEX(Connectors!$D$2:$D$1000,MATCH(A129,Connectors!$A$2:$A$1000,0)),""),{"SPLICE","STUD"},0))),"vários fios no mesmo pino; ","")</f>
        <v/>
      </c>
      <c r="M129" s="11">
        <f>A129&amp;":"&amp;B129&amp;IF(EXACT(B129,UPPER(B129)),"","|lc")</f>
        <v/>
      </c>
      <c r="N129" s="11">
        <f>IFERROR(MATCH(M129,Wires!$W$2:$W$1000,0),IFERROR(MATCH(M129,Wires!$X$2:$X$1000,0),""))</f>
        <v/>
      </c>
      <c r="O129" s="11">
        <f>IF(N129="","",IF(ISNUMBER(MATCH(M129,Wires!$W$2:$W$1000,0)),"from","to"))</f>
        <v/>
      </c>
    </row>
    <row r="130">
      <c r="A130" s="9" t="inlineStr">
        <is>
          <t>DATABOX J1</t>
        </is>
      </c>
      <c r="B130" s="9" t="inlineStr">
        <is>
          <t>W</t>
        </is>
      </c>
      <c r="C130" s="9" t="inlineStr">
        <is>
          <t>Encoder A Supply</t>
        </is>
      </c>
      <c r="D130" s="9" t="inlineStr">
        <is>
          <t>IN</t>
        </is>
      </c>
      <c r="E130" s="9" t="inlineStr">
        <is>
          <t>5V</t>
        </is>
      </c>
      <c r="F130" s="11">
        <f>IF(N130="","",INDEX(Wires!$A$2:$A$1000,N130))</f>
        <v/>
      </c>
      <c r="G130" s="11">
        <f>IF(N130="","",INDEX(Wires!$C$2:$C$1000,N130))</f>
        <v/>
      </c>
      <c r="H130" s="11">
        <f>IF(N130="","",IF(O130="from",INDEX(Wires!$F$2:$F$1000,N130)&amp;":"&amp;INDEX(Wires!$G$2:$G$1000,N130),INDEX(Wires!$D$2:$D$1000,N130)&amp;":"&amp;INDEX(Wires!$E$2:$E$1000,N130)))</f>
        <v/>
      </c>
      <c r="I130" s="11">
        <f>IF(N130="","",INDEX(Wires!$H$2:$H$1000,N130)&amp;"")</f>
        <v/>
      </c>
      <c r="J130" s="11">
        <f>IF(N130="","",IF(INDEX(Wires!$I$2:$I$1000,N130)="","",INDEX(Wires!$I$2:$I$1000,N130)))</f>
        <v/>
      </c>
      <c r="K130" s="11">
        <f>COUNTIF(Wires!$W$2:$W$1000,M130)+COUNTIF(Wires!$X$2:$X$1000,M130)</f>
        <v/>
      </c>
      <c r="L130" s="11">
        <f>IF(AND(K130=0,C130&lt;&gt;"",D130&lt;&gt;"NC"),"pino com sinal mas sem fio; ","")&amp;IF(AND(D130="NC",K130&gt;0),"pino NC com fio; ","")&amp;IF(AND(K130&gt;1,ISERROR(MATCH(IFERROR(INDEX(Connectors!$D$2:$D$1000,MATCH(A130,Connectors!$A$2:$A$1000,0)),""),{"SPLICE","STUD"},0))),"vários fios no mesmo pino; ","")</f>
        <v/>
      </c>
      <c r="M130" s="11">
        <f>A130&amp;":"&amp;B130&amp;IF(EXACT(B130,UPPER(B130)),"","|lc")</f>
        <v/>
      </c>
      <c r="N130" s="11">
        <f>IFERROR(MATCH(M130,Wires!$W$2:$W$1000,0),IFERROR(MATCH(M130,Wires!$X$2:$X$1000,0),""))</f>
        <v/>
      </c>
      <c r="O130" s="11">
        <f>IF(N130="","",IF(ISNUMBER(MATCH(M130,Wires!$W$2:$W$1000,0)),"from","to"))</f>
        <v/>
      </c>
    </row>
    <row r="131">
      <c r="A131" s="9" t="inlineStr">
        <is>
          <t>DATABOX J1</t>
        </is>
      </c>
      <c r="B131" s="9" t="inlineStr">
        <is>
          <t>X</t>
        </is>
      </c>
      <c r="C131" s="9" t="inlineStr">
        <is>
          <t>Encoder A Data</t>
        </is>
      </c>
      <c r="D131" s="9" t="inlineStr">
        <is>
          <t>OUT</t>
        </is>
      </c>
      <c r="E131" s="9" t="inlineStr">
        <is>
          <t>5V</t>
        </is>
      </c>
      <c r="F131" s="11">
        <f>IF(N131="","",INDEX(Wires!$A$2:$A$1000,N131))</f>
        <v/>
      </c>
      <c r="G131" s="11">
        <f>IF(N131="","",INDEX(Wires!$C$2:$C$1000,N131))</f>
        <v/>
      </c>
      <c r="H131" s="11">
        <f>IF(N131="","",IF(O131="from",INDEX(Wires!$F$2:$F$1000,N131)&amp;":"&amp;INDEX(Wires!$G$2:$G$1000,N131),INDEX(Wires!$D$2:$D$1000,N131)&amp;":"&amp;INDEX(Wires!$E$2:$E$1000,N131)))</f>
        <v/>
      </c>
      <c r="I131" s="11">
        <f>IF(N131="","",INDEX(Wires!$H$2:$H$1000,N131)&amp;"")</f>
        <v/>
      </c>
      <c r="J131" s="11">
        <f>IF(N131="","",IF(INDEX(Wires!$I$2:$I$1000,N131)="","",INDEX(Wires!$I$2:$I$1000,N131)))</f>
        <v/>
      </c>
      <c r="K131" s="11">
        <f>COUNTIF(Wires!$W$2:$W$1000,M131)+COUNTIF(Wires!$X$2:$X$1000,M131)</f>
        <v/>
      </c>
      <c r="L131" s="11">
        <f>IF(AND(K131=0,C131&lt;&gt;"",D131&lt;&gt;"NC"),"pino com sinal mas sem fio; ","")&amp;IF(AND(D131="NC",K131&gt;0),"pino NC com fio; ","")&amp;IF(AND(K131&gt;1,ISERROR(MATCH(IFERROR(INDEX(Connectors!$D$2:$D$1000,MATCH(A131,Connectors!$A$2:$A$1000,0)),""),{"SPLICE","STUD"},0))),"vários fios no mesmo pino; ","")</f>
        <v/>
      </c>
      <c r="M131" s="11">
        <f>A131&amp;":"&amp;B131&amp;IF(EXACT(B131,UPPER(B131)),"","|lc")</f>
        <v/>
      </c>
      <c r="N131" s="11">
        <f>IFERROR(MATCH(M131,Wires!$W$2:$W$1000,0),IFERROR(MATCH(M131,Wires!$X$2:$X$1000,0),""))</f>
        <v/>
      </c>
      <c r="O131" s="11">
        <f>IF(N131="","",IF(ISNUMBER(MATCH(M131,Wires!$W$2:$W$1000,0)),"from","to"))</f>
        <v/>
      </c>
    </row>
    <row r="132">
      <c r="A132" s="9" t="inlineStr">
        <is>
          <t>DATABOX J1</t>
        </is>
      </c>
      <c r="B132" s="9" t="inlineStr">
        <is>
          <t>Y</t>
        </is>
      </c>
      <c r="C132" s="9" t="inlineStr">
        <is>
          <t>Encoder A CLK</t>
        </is>
      </c>
      <c r="D132" s="9" t="inlineStr">
        <is>
          <t>OUT</t>
        </is>
      </c>
      <c r="E132" s="9" t="inlineStr">
        <is>
          <t>5V</t>
        </is>
      </c>
      <c r="F132" s="11">
        <f>IF(N132="","",INDEX(Wires!$A$2:$A$1000,N132))</f>
        <v/>
      </c>
      <c r="G132" s="11">
        <f>IF(N132="","",INDEX(Wires!$C$2:$C$1000,N132))</f>
        <v/>
      </c>
      <c r="H132" s="11">
        <f>IF(N132="","",IF(O132="from",INDEX(Wires!$F$2:$F$1000,N132)&amp;":"&amp;INDEX(Wires!$G$2:$G$1000,N132),INDEX(Wires!$D$2:$D$1000,N132)&amp;":"&amp;INDEX(Wires!$E$2:$E$1000,N132)))</f>
        <v/>
      </c>
      <c r="I132" s="11">
        <f>IF(N132="","",INDEX(Wires!$H$2:$H$1000,N132)&amp;"")</f>
        <v/>
      </c>
      <c r="J132" s="11">
        <f>IF(N132="","",IF(INDEX(Wires!$I$2:$I$1000,N132)="","",INDEX(Wires!$I$2:$I$1000,N132)))</f>
        <v/>
      </c>
      <c r="K132" s="11">
        <f>COUNTIF(Wires!$W$2:$W$1000,M132)+COUNTIF(Wires!$X$2:$X$1000,M132)</f>
        <v/>
      </c>
      <c r="L132" s="11">
        <f>IF(AND(K132=0,C132&lt;&gt;"",D132&lt;&gt;"NC"),"pino com sinal mas sem fio; ","")&amp;IF(AND(D132="NC",K132&gt;0),"pino NC com fio; ","")&amp;IF(AND(K132&gt;1,ISERROR(MATCH(IFERROR(INDEX(Connectors!$D$2:$D$1000,MATCH(A132,Connectors!$A$2:$A$1000,0)),""),{"SPLICE","STUD"},0))),"vários fios no mesmo pino; ","")</f>
        <v/>
      </c>
      <c r="M132" s="11">
        <f>A132&amp;":"&amp;B132&amp;IF(EXACT(B132,UPPER(B132)),"","|lc")</f>
        <v/>
      </c>
      <c r="N132" s="11">
        <f>IFERROR(MATCH(M132,Wires!$W$2:$W$1000,0),IFERROR(MATCH(M132,Wires!$X$2:$X$1000,0),""))</f>
        <v/>
      </c>
      <c r="O132" s="11">
        <f>IF(N132="","",IF(ISNUMBER(MATCH(M132,Wires!$W$2:$W$1000,0)),"from","to"))</f>
        <v/>
      </c>
    </row>
    <row r="133">
      <c r="A133" s="9" t="inlineStr">
        <is>
          <t>DATABOX J1</t>
        </is>
      </c>
      <c r="B133" s="9" t="inlineStr">
        <is>
          <t>Z</t>
        </is>
      </c>
      <c r="C133" s="9" t="inlineStr">
        <is>
          <t>Encoder A GND</t>
        </is>
      </c>
      <c r="D133" s="9" t="inlineStr">
        <is>
          <t>IN</t>
        </is>
      </c>
      <c r="E133" s="9" t="inlineStr">
        <is>
          <t>0V</t>
        </is>
      </c>
      <c r="F133" s="11">
        <f>IF(N133="","",INDEX(Wires!$A$2:$A$1000,N133))</f>
        <v/>
      </c>
      <c r="G133" s="11">
        <f>IF(N133="","",INDEX(Wires!$C$2:$C$1000,N133))</f>
        <v/>
      </c>
      <c r="H133" s="11">
        <f>IF(N133="","",IF(O133="from",INDEX(Wires!$F$2:$F$1000,N133)&amp;":"&amp;INDEX(Wires!$G$2:$G$1000,N133),INDEX(Wires!$D$2:$D$1000,N133)&amp;":"&amp;INDEX(Wires!$E$2:$E$1000,N133)))</f>
        <v/>
      </c>
      <c r="I133" s="11">
        <f>IF(N133="","",INDEX(Wires!$H$2:$H$1000,N133)&amp;"")</f>
        <v/>
      </c>
      <c r="J133" s="11">
        <f>IF(N133="","",IF(INDEX(Wires!$I$2:$I$1000,N133)="","",INDEX(Wires!$I$2:$I$1000,N133)))</f>
        <v/>
      </c>
      <c r="K133" s="11">
        <f>COUNTIF(Wires!$W$2:$W$1000,M133)+COUNTIF(Wires!$X$2:$X$1000,M133)</f>
        <v/>
      </c>
      <c r="L133" s="11">
        <f>IF(AND(K133=0,C133&lt;&gt;"",D133&lt;&gt;"NC"),"pino com sinal mas sem fio; ","")&amp;IF(AND(D133="NC",K133&gt;0),"pino NC com fio; ","")&amp;IF(AND(K133&gt;1,ISERROR(MATCH(IFERROR(INDEX(Connectors!$D$2:$D$1000,MATCH(A133,Connectors!$A$2:$A$1000,0)),""),{"SPLICE","STUD"},0))),"vários fios no mesmo pino; ","")</f>
        <v/>
      </c>
      <c r="M133" s="11">
        <f>A133&amp;":"&amp;B133&amp;IF(EXACT(B133,UPPER(B133)),"","|lc")</f>
        <v/>
      </c>
      <c r="N133" s="11">
        <f>IFERROR(MATCH(M133,Wires!$W$2:$W$1000,0),IFERROR(MATCH(M133,Wires!$X$2:$X$1000,0),""))</f>
        <v/>
      </c>
      <c r="O133" s="11">
        <f>IF(N133="","",IF(ISNUMBER(MATCH(M133,Wires!$W$2:$W$1000,0)),"from","to"))</f>
        <v/>
      </c>
    </row>
    <row r="134">
      <c r="A134" s="9" t="inlineStr">
        <is>
          <t>DATABOX J1</t>
        </is>
      </c>
      <c r="B134" s="9" t="inlineStr">
        <is>
          <t>a</t>
        </is>
      </c>
      <c r="C134" s="9" t="inlineStr">
        <is>
          <t>Encoder B Supply</t>
        </is>
      </c>
      <c r="D134" s="9" t="inlineStr">
        <is>
          <t>IN</t>
        </is>
      </c>
      <c r="E134" s="9" t="inlineStr">
        <is>
          <t>5V</t>
        </is>
      </c>
      <c r="F134" s="11">
        <f>IF(N134="","",INDEX(Wires!$A$2:$A$1000,N134))</f>
        <v/>
      </c>
      <c r="G134" s="11">
        <f>IF(N134="","",INDEX(Wires!$C$2:$C$1000,N134))</f>
        <v/>
      </c>
      <c r="H134" s="11">
        <f>IF(N134="","",IF(O134="from",INDEX(Wires!$F$2:$F$1000,N134)&amp;":"&amp;INDEX(Wires!$G$2:$G$1000,N134),INDEX(Wires!$D$2:$D$1000,N134)&amp;":"&amp;INDEX(Wires!$E$2:$E$1000,N134)))</f>
        <v/>
      </c>
      <c r="I134" s="11">
        <f>IF(N134="","",INDEX(Wires!$H$2:$H$1000,N134)&amp;"")</f>
        <v/>
      </c>
      <c r="J134" s="11">
        <f>IF(N134="","",IF(INDEX(Wires!$I$2:$I$1000,N134)="","",INDEX(Wires!$I$2:$I$1000,N134)))</f>
        <v/>
      </c>
      <c r="K134" s="11">
        <f>COUNTIF(Wires!$W$2:$W$1000,M134)+COUNTIF(Wires!$X$2:$X$1000,M134)</f>
        <v/>
      </c>
      <c r="L134" s="11">
        <f>IF(AND(K134=0,C134&lt;&gt;"",D134&lt;&gt;"NC"),"pino com sinal mas sem fio; ","")&amp;IF(AND(D134="NC",K134&gt;0),"pino NC com fio; ","")&amp;IF(AND(K134&gt;1,ISERROR(MATCH(IFERROR(INDEX(Connectors!$D$2:$D$1000,MATCH(A134,Connectors!$A$2:$A$1000,0)),""),{"SPLICE","STUD"},0))),"vários fios no mesmo pino; ","")</f>
        <v/>
      </c>
      <c r="M134" s="11">
        <f>A134&amp;":"&amp;B134&amp;IF(EXACT(B134,UPPER(B134)),"","|lc")</f>
        <v/>
      </c>
      <c r="N134" s="11">
        <f>IFERROR(MATCH(M134,Wires!$W$2:$W$1000,0),IFERROR(MATCH(M134,Wires!$X$2:$X$1000,0),""))</f>
        <v/>
      </c>
      <c r="O134" s="11">
        <f>IF(N134="","",IF(ISNUMBER(MATCH(M134,Wires!$W$2:$W$1000,0)),"from","to"))</f>
        <v/>
      </c>
    </row>
    <row r="135">
      <c r="A135" s="9" t="inlineStr">
        <is>
          <t>DATABOX J1</t>
        </is>
      </c>
      <c r="B135" s="9" t="inlineStr">
        <is>
          <t>b</t>
        </is>
      </c>
      <c r="C135" s="9" t="inlineStr">
        <is>
          <t>Encoder B Data</t>
        </is>
      </c>
      <c r="D135" s="9" t="inlineStr">
        <is>
          <t>OUT</t>
        </is>
      </c>
      <c r="E135" s="9" t="inlineStr">
        <is>
          <t>5V</t>
        </is>
      </c>
      <c r="F135" s="11">
        <f>IF(N135="","",INDEX(Wires!$A$2:$A$1000,N135))</f>
        <v/>
      </c>
      <c r="G135" s="11">
        <f>IF(N135="","",INDEX(Wires!$C$2:$C$1000,N135))</f>
        <v/>
      </c>
      <c r="H135" s="11">
        <f>IF(N135="","",IF(O135="from",INDEX(Wires!$F$2:$F$1000,N135)&amp;":"&amp;INDEX(Wires!$G$2:$G$1000,N135),INDEX(Wires!$D$2:$D$1000,N135)&amp;":"&amp;INDEX(Wires!$E$2:$E$1000,N135)))</f>
        <v/>
      </c>
      <c r="I135" s="11">
        <f>IF(N135="","",INDEX(Wires!$H$2:$H$1000,N135)&amp;"")</f>
        <v/>
      </c>
      <c r="J135" s="11">
        <f>IF(N135="","",IF(INDEX(Wires!$I$2:$I$1000,N135)="","",INDEX(Wires!$I$2:$I$1000,N135)))</f>
        <v/>
      </c>
      <c r="K135" s="11">
        <f>COUNTIF(Wires!$W$2:$W$1000,M135)+COUNTIF(Wires!$X$2:$X$1000,M135)</f>
        <v/>
      </c>
      <c r="L135" s="11">
        <f>IF(AND(K135=0,C135&lt;&gt;"",D135&lt;&gt;"NC"),"pino com sinal mas sem fio; ","")&amp;IF(AND(D135="NC",K135&gt;0),"pino NC com fio; ","")&amp;IF(AND(K135&gt;1,ISERROR(MATCH(IFERROR(INDEX(Connectors!$D$2:$D$1000,MATCH(A135,Connectors!$A$2:$A$1000,0)),""),{"SPLICE","STUD"},0))),"vários fios no mesmo pino; ","")</f>
        <v/>
      </c>
      <c r="M135" s="11">
        <f>A135&amp;":"&amp;B135&amp;IF(EXACT(B135,UPPER(B135)),"","|lc")</f>
        <v/>
      </c>
      <c r="N135" s="11">
        <f>IFERROR(MATCH(M135,Wires!$W$2:$W$1000,0),IFERROR(MATCH(M135,Wires!$X$2:$X$1000,0),""))</f>
        <v/>
      </c>
      <c r="O135" s="11">
        <f>IF(N135="","",IF(ISNUMBER(MATCH(M135,Wires!$W$2:$W$1000,0)),"from","to"))</f>
        <v/>
      </c>
    </row>
    <row r="136">
      <c r="A136" s="9" t="inlineStr">
        <is>
          <t>DATABOX J1</t>
        </is>
      </c>
      <c r="B136" s="9" t="inlineStr">
        <is>
          <t>c</t>
        </is>
      </c>
      <c r="C136" s="9" t="inlineStr">
        <is>
          <t>Encoder B CLK</t>
        </is>
      </c>
      <c r="D136" s="9" t="inlineStr">
        <is>
          <t>OUT</t>
        </is>
      </c>
      <c r="E136" s="9" t="inlineStr">
        <is>
          <t>5V</t>
        </is>
      </c>
      <c r="F136" s="11">
        <f>IF(N136="","",INDEX(Wires!$A$2:$A$1000,N136))</f>
        <v/>
      </c>
      <c r="G136" s="11">
        <f>IF(N136="","",INDEX(Wires!$C$2:$C$1000,N136))</f>
        <v/>
      </c>
      <c r="H136" s="11">
        <f>IF(N136="","",IF(O136="from",INDEX(Wires!$F$2:$F$1000,N136)&amp;":"&amp;INDEX(Wires!$G$2:$G$1000,N136),INDEX(Wires!$D$2:$D$1000,N136)&amp;":"&amp;INDEX(Wires!$E$2:$E$1000,N136)))</f>
        <v/>
      </c>
      <c r="I136" s="11">
        <f>IF(N136="","",INDEX(Wires!$H$2:$H$1000,N136)&amp;"")</f>
        <v/>
      </c>
      <c r="J136" s="11">
        <f>IF(N136="","",IF(INDEX(Wires!$I$2:$I$1000,N136)="","",INDEX(Wires!$I$2:$I$1000,N136)))</f>
        <v/>
      </c>
      <c r="K136" s="11">
        <f>COUNTIF(Wires!$W$2:$W$1000,M136)+COUNTIF(Wires!$X$2:$X$1000,M136)</f>
        <v/>
      </c>
      <c r="L136" s="11">
        <f>IF(AND(K136=0,C136&lt;&gt;"",D136&lt;&gt;"NC"),"pino com sinal mas sem fio; ","")&amp;IF(AND(D136="NC",K136&gt;0),"pino NC com fio; ","")&amp;IF(AND(K136&gt;1,ISERROR(MATCH(IFERROR(INDEX(Connectors!$D$2:$D$1000,MATCH(A136,Connectors!$A$2:$A$1000,0)),""),{"SPLICE","STUD"},0))),"vários fios no mesmo pino; ","")</f>
        <v/>
      </c>
      <c r="M136" s="11">
        <f>A136&amp;":"&amp;B136&amp;IF(EXACT(B136,UPPER(B136)),"","|lc")</f>
        <v/>
      </c>
      <c r="N136" s="11">
        <f>IFERROR(MATCH(M136,Wires!$W$2:$W$1000,0),IFERROR(MATCH(M136,Wires!$X$2:$X$1000,0),""))</f>
        <v/>
      </c>
      <c r="O136" s="11">
        <f>IF(N136="","",IF(ISNUMBER(MATCH(M136,Wires!$W$2:$W$1000,0)),"from","to"))</f>
        <v/>
      </c>
    </row>
    <row r="137">
      <c r="A137" s="9" t="inlineStr">
        <is>
          <t>DATABOX J1</t>
        </is>
      </c>
      <c r="B137" s="9" t="inlineStr">
        <is>
          <t>d</t>
        </is>
      </c>
      <c r="C137" s="9" t="inlineStr">
        <is>
          <t>Encoder B GND</t>
        </is>
      </c>
      <c r="D137" s="9" t="inlineStr">
        <is>
          <t>IN</t>
        </is>
      </c>
      <c r="E137" s="9" t="inlineStr">
        <is>
          <t>0V</t>
        </is>
      </c>
      <c r="F137" s="11">
        <f>IF(N137="","",INDEX(Wires!$A$2:$A$1000,N137))</f>
        <v/>
      </c>
      <c r="G137" s="11">
        <f>IF(N137="","",INDEX(Wires!$C$2:$C$1000,N137))</f>
        <v/>
      </c>
      <c r="H137" s="11">
        <f>IF(N137="","",IF(O137="from",INDEX(Wires!$F$2:$F$1000,N137)&amp;":"&amp;INDEX(Wires!$G$2:$G$1000,N137),INDEX(Wires!$D$2:$D$1000,N137)&amp;":"&amp;INDEX(Wires!$E$2:$E$1000,N137)))</f>
        <v/>
      </c>
      <c r="I137" s="11">
        <f>IF(N137="","",INDEX(Wires!$H$2:$H$1000,N137)&amp;"")</f>
        <v/>
      </c>
      <c r="J137" s="11">
        <f>IF(N137="","",IF(INDEX(Wires!$I$2:$I$1000,N137)="","",INDEX(Wires!$I$2:$I$1000,N137)))</f>
        <v/>
      </c>
      <c r="K137" s="11">
        <f>COUNTIF(Wires!$W$2:$W$1000,M137)+COUNTIF(Wires!$X$2:$X$1000,M137)</f>
        <v/>
      </c>
      <c r="L137" s="11">
        <f>IF(AND(K137=0,C137&lt;&gt;"",D137&lt;&gt;"NC"),"pino com sinal mas sem fio; ","")&amp;IF(AND(D137="NC",K137&gt;0),"pino NC com fio; ","")&amp;IF(AND(K137&gt;1,ISERROR(MATCH(IFERROR(INDEX(Connectors!$D$2:$D$1000,MATCH(A137,Connectors!$A$2:$A$1000,0)),""),{"SPLICE","STUD"},0))),"vários fios no mesmo pino; ","")</f>
        <v/>
      </c>
      <c r="M137" s="11">
        <f>A137&amp;":"&amp;B137&amp;IF(EXACT(B137,UPPER(B137)),"","|lc")</f>
        <v/>
      </c>
      <c r="N137" s="11">
        <f>IFERROR(MATCH(M137,Wires!$W$2:$W$1000,0),IFERROR(MATCH(M137,Wires!$X$2:$X$1000,0),""))</f>
        <v/>
      </c>
      <c r="O137" s="11">
        <f>IF(N137="","",IF(ISNUMBER(MATCH(M137,Wires!$W$2:$W$1000,0)),"from","to"))</f>
        <v/>
      </c>
    </row>
    <row r="138">
      <c r="A138" s="9" t="inlineStr">
        <is>
          <t>DATABOX J1</t>
        </is>
      </c>
      <c r="B138" s="9" t="inlineStr">
        <is>
          <t>e</t>
        </is>
      </c>
      <c r="C138" s="9" t="inlineStr">
        <is>
          <t>Buttons_Power</t>
        </is>
      </c>
      <c r="D138" s="9" t="inlineStr">
        <is>
          <t>OUT</t>
        </is>
      </c>
      <c r="E138" s="9" t="inlineStr">
        <is>
          <t>3.3V</t>
        </is>
      </c>
      <c r="F138" s="11">
        <f>IF(N138="","",INDEX(Wires!$A$2:$A$1000,N138))</f>
        <v/>
      </c>
      <c r="G138" s="11">
        <f>IF(N138="","",INDEX(Wires!$C$2:$C$1000,N138))</f>
        <v/>
      </c>
      <c r="H138" s="11">
        <f>IF(N138="","",IF(O138="from",INDEX(Wires!$F$2:$F$1000,N138)&amp;":"&amp;INDEX(Wires!$G$2:$G$1000,N138),INDEX(Wires!$D$2:$D$1000,N138)&amp;":"&amp;INDEX(Wires!$E$2:$E$1000,N138)))</f>
        <v/>
      </c>
      <c r="I138" s="11">
        <f>IF(N138="","",INDEX(Wires!$H$2:$H$1000,N138)&amp;"")</f>
        <v/>
      </c>
      <c r="J138" s="11">
        <f>IF(N138="","",IF(INDEX(Wires!$I$2:$I$1000,N138)="","",INDEX(Wires!$I$2:$I$1000,N138)))</f>
        <v/>
      </c>
      <c r="K138" s="11">
        <f>COUNTIF(Wires!$W$2:$W$1000,M138)+COUNTIF(Wires!$X$2:$X$1000,M138)</f>
        <v/>
      </c>
      <c r="L138" s="11">
        <f>IF(AND(K138=0,C138&lt;&gt;"",D138&lt;&gt;"NC"),"pino com sinal mas sem fio; ","")&amp;IF(AND(D138="NC",K138&gt;0),"pino NC com fio; ","")&amp;IF(AND(K138&gt;1,ISERROR(MATCH(IFERROR(INDEX(Connectors!$D$2:$D$1000,MATCH(A138,Connectors!$A$2:$A$1000,0)),""),{"SPLICE","STUD"},0))),"vários fios no mesmo pino; ","")</f>
        <v/>
      </c>
      <c r="M138" s="11">
        <f>A138&amp;":"&amp;B138&amp;IF(EXACT(B138,UPPER(B138)),"","|lc")</f>
        <v/>
      </c>
      <c r="N138" s="11">
        <f>IFERROR(MATCH(M138,Wires!$W$2:$W$1000,0),IFERROR(MATCH(M138,Wires!$X$2:$X$1000,0),""))</f>
        <v/>
      </c>
      <c r="O138" s="11">
        <f>IF(N138="","",IF(ISNUMBER(MATCH(M138,Wires!$W$2:$W$1000,0)),"from","to"))</f>
        <v/>
      </c>
    </row>
    <row r="139">
      <c r="A139" s="9" t="inlineStr">
        <is>
          <t>DATABOX J1</t>
        </is>
      </c>
      <c r="B139" s="9" t="inlineStr">
        <is>
          <t>f</t>
        </is>
      </c>
      <c r="C139" s="9" t="inlineStr">
        <is>
          <t>Button OK</t>
        </is>
      </c>
      <c r="D139" s="9" t="inlineStr">
        <is>
          <t>OUT</t>
        </is>
      </c>
      <c r="E139" s="9" t="inlineStr">
        <is>
          <t>3.3V</t>
        </is>
      </c>
      <c r="F139" s="11">
        <f>IF(N139="","",INDEX(Wires!$A$2:$A$1000,N139))</f>
        <v/>
      </c>
      <c r="G139" s="11">
        <f>IF(N139="","",INDEX(Wires!$C$2:$C$1000,N139))</f>
        <v/>
      </c>
      <c r="H139" s="11">
        <f>IF(N139="","",IF(O139="from",INDEX(Wires!$F$2:$F$1000,N139)&amp;":"&amp;INDEX(Wires!$G$2:$G$1000,N139),INDEX(Wires!$D$2:$D$1000,N139)&amp;":"&amp;INDEX(Wires!$E$2:$E$1000,N139)))</f>
        <v/>
      </c>
      <c r="I139" s="11">
        <f>IF(N139="","",INDEX(Wires!$H$2:$H$1000,N139)&amp;"")</f>
        <v/>
      </c>
      <c r="J139" s="11">
        <f>IF(N139="","",IF(INDEX(Wires!$I$2:$I$1000,N139)="","",INDEX(Wires!$I$2:$I$1000,N139)))</f>
        <v/>
      </c>
      <c r="K139" s="11">
        <f>COUNTIF(Wires!$W$2:$W$1000,M139)+COUNTIF(Wires!$X$2:$X$1000,M139)</f>
        <v/>
      </c>
      <c r="L139" s="11">
        <f>IF(AND(K139=0,C139&lt;&gt;"",D139&lt;&gt;"NC"),"pino com sinal mas sem fio; ","")&amp;IF(AND(D139="NC",K139&gt;0),"pino NC com fio; ","")&amp;IF(AND(K139&gt;1,ISERROR(MATCH(IFERROR(INDEX(Connectors!$D$2:$D$1000,MATCH(A139,Connectors!$A$2:$A$1000,0)),""),{"SPLICE","STUD"},0))),"vários fios no mesmo pino; ","")</f>
        <v/>
      </c>
      <c r="M139" s="11">
        <f>A139&amp;":"&amp;B139&amp;IF(EXACT(B139,UPPER(B139)),"","|lc")</f>
        <v/>
      </c>
      <c r="N139" s="11">
        <f>IFERROR(MATCH(M139,Wires!$W$2:$W$1000,0),IFERROR(MATCH(M139,Wires!$X$2:$X$1000,0),""))</f>
        <v/>
      </c>
      <c r="O139" s="11">
        <f>IF(N139="","",IF(ISNUMBER(MATCH(M139,Wires!$W$2:$W$1000,0)),"from","to"))</f>
        <v/>
      </c>
    </row>
    <row r="140">
      <c r="A140" s="9" t="inlineStr">
        <is>
          <t>DATABOX J1</t>
        </is>
      </c>
      <c r="B140" s="9" t="inlineStr">
        <is>
          <t>g</t>
        </is>
      </c>
      <c r="C140" s="9" t="inlineStr">
        <is>
          <t>Button Next_Page</t>
        </is>
      </c>
      <c r="D140" s="9" t="inlineStr">
        <is>
          <t>OUT</t>
        </is>
      </c>
      <c r="E140" s="9" t="inlineStr">
        <is>
          <t>3.3V</t>
        </is>
      </c>
      <c r="F140" s="11">
        <f>IF(N140="","",INDEX(Wires!$A$2:$A$1000,N140))</f>
        <v/>
      </c>
      <c r="G140" s="11">
        <f>IF(N140="","",INDEX(Wires!$C$2:$C$1000,N140))</f>
        <v/>
      </c>
      <c r="H140" s="11">
        <f>IF(N140="","",IF(O140="from",INDEX(Wires!$F$2:$F$1000,N140)&amp;":"&amp;INDEX(Wires!$G$2:$G$1000,N140),INDEX(Wires!$D$2:$D$1000,N140)&amp;":"&amp;INDEX(Wires!$E$2:$E$1000,N140)))</f>
        <v/>
      </c>
      <c r="I140" s="11">
        <f>IF(N140="","",INDEX(Wires!$H$2:$H$1000,N140)&amp;"")</f>
        <v/>
      </c>
      <c r="J140" s="11">
        <f>IF(N140="","",IF(INDEX(Wires!$I$2:$I$1000,N140)="","",INDEX(Wires!$I$2:$I$1000,N140)))</f>
        <v/>
      </c>
      <c r="K140" s="11">
        <f>COUNTIF(Wires!$W$2:$W$1000,M140)+COUNTIF(Wires!$X$2:$X$1000,M140)</f>
        <v/>
      </c>
      <c r="L140" s="11">
        <f>IF(AND(K140=0,C140&lt;&gt;"",D140&lt;&gt;"NC"),"pino com sinal mas sem fio; ","")&amp;IF(AND(D140="NC",K140&gt;0),"pino NC com fio; ","")&amp;IF(AND(K140&gt;1,ISERROR(MATCH(IFERROR(INDEX(Connectors!$D$2:$D$1000,MATCH(A140,Connectors!$A$2:$A$1000,0)),""),{"SPLICE","STUD"},0))),"vários fios no mesmo pino; ","")</f>
        <v/>
      </c>
      <c r="M140" s="11">
        <f>A140&amp;":"&amp;B140&amp;IF(EXACT(B140,UPPER(B140)),"","|lc")</f>
        <v/>
      </c>
      <c r="N140" s="11">
        <f>IFERROR(MATCH(M140,Wires!$W$2:$W$1000,0),IFERROR(MATCH(M140,Wires!$X$2:$X$1000,0),""))</f>
        <v/>
      </c>
      <c r="O140" s="11">
        <f>IF(N140="","",IF(ISNUMBER(MATCH(M140,Wires!$W$2:$W$1000,0)),"from","to"))</f>
        <v/>
      </c>
    </row>
    <row r="141">
      <c r="A141" s="9" t="inlineStr">
        <is>
          <t>DATABOX J1</t>
        </is>
      </c>
      <c r="B141" s="9" t="inlineStr">
        <is>
          <t>h</t>
        </is>
      </c>
      <c r="C141" s="9" t="n"/>
      <c r="D141" s="9" t="n"/>
      <c r="E141" s="9" t="n"/>
      <c r="F141" s="11">
        <f>IF(N141="","",INDEX(Wires!$A$2:$A$1000,N141))</f>
        <v/>
      </c>
      <c r="G141" s="11">
        <f>IF(N141="","",INDEX(Wires!$C$2:$C$1000,N141))</f>
        <v/>
      </c>
      <c r="H141" s="11">
        <f>IF(N141="","",IF(O141="from",INDEX(Wires!$F$2:$F$1000,N141)&amp;":"&amp;INDEX(Wires!$G$2:$G$1000,N141),INDEX(Wires!$D$2:$D$1000,N141)&amp;":"&amp;INDEX(Wires!$E$2:$E$1000,N141)))</f>
        <v/>
      </c>
      <c r="I141" s="11">
        <f>IF(N141="","",INDEX(Wires!$H$2:$H$1000,N141)&amp;"")</f>
        <v/>
      </c>
      <c r="J141" s="11">
        <f>IF(N141="","",IF(INDEX(Wires!$I$2:$I$1000,N141)="","",INDEX(Wires!$I$2:$I$1000,N141)))</f>
        <v/>
      </c>
      <c r="K141" s="11">
        <f>COUNTIF(Wires!$W$2:$W$1000,M141)+COUNTIF(Wires!$X$2:$X$1000,M141)</f>
        <v/>
      </c>
      <c r="L141" s="11">
        <f>IF(AND(K141=0,C141&lt;&gt;"",D141&lt;&gt;"NC"),"pino com sinal mas sem fio; ","")&amp;IF(AND(D141="NC",K141&gt;0),"pino NC com fio; ","")&amp;IF(AND(K141&gt;1,ISERROR(MATCH(IFERROR(INDEX(Connectors!$D$2:$D$1000,MATCH(A141,Connectors!$A$2:$A$1000,0)),""),{"SPLICE","STUD"},0))),"vários fios no mesmo pino; ","")</f>
        <v/>
      </c>
      <c r="M141" s="11">
        <f>A141&amp;":"&amp;B141&amp;IF(EXACT(B141,UPPER(B141)),"","|lc")</f>
        <v/>
      </c>
      <c r="N141" s="11">
        <f>IFERROR(MATCH(M141,Wires!$W$2:$W$1000,0),IFERROR(MATCH(M141,Wires!$X$2:$X$1000,0),""))</f>
        <v/>
      </c>
      <c r="O141" s="11">
        <f>IF(N141="","",IF(ISNUMBER(MATCH(M141,Wires!$W$2:$W$1000,0)),"from","to"))</f>
        <v/>
      </c>
    </row>
    <row r="142">
      <c r="A142" s="9" t="inlineStr">
        <is>
          <t>DATABOX J1</t>
        </is>
      </c>
      <c r="B142" s="9" t="inlineStr">
        <is>
          <t>j</t>
        </is>
      </c>
      <c r="C142" s="9" t="n"/>
      <c r="D142" s="9" t="n"/>
      <c r="E142" s="9" t="n"/>
      <c r="F142" s="11">
        <f>IF(N142="","",INDEX(Wires!$A$2:$A$1000,N142))</f>
        <v/>
      </c>
      <c r="G142" s="11">
        <f>IF(N142="","",INDEX(Wires!$C$2:$C$1000,N142))</f>
        <v/>
      </c>
      <c r="H142" s="11">
        <f>IF(N142="","",IF(O142="from",INDEX(Wires!$F$2:$F$1000,N142)&amp;":"&amp;INDEX(Wires!$G$2:$G$1000,N142),INDEX(Wires!$D$2:$D$1000,N142)&amp;":"&amp;INDEX(Wires!$E$2:$E$1000,N142)))</f>
        <v/>
      </c>
      <c r="I142" s="11">
        <f>IF(N142="","",INDEX(Wires!$H$2:$H$1000,N142)&amp;"")</f>
        <v/>
      </c>
      <c r="J142" s="11">
        <f>IF(N142="","",IF(INDEX(Wires!$I$2:$I$1000,N142)="","",INDEX(Wires!$I$2:$I$1000,N142)))</f>
        <v/>
      </c>
      <c r="K142" s="11">
        <f>COUNTIF(Wires!$W$2:$W$1000,M142)+COUNTIF(Wires!$X$2:$X$1000,M142)</f>
        <v/>
      </c>
      <c r="L142" s="11">
        <f>IF(AND(K142=0,C142&lt;&gt;"",D142&lt;&gt;"NC"),"pino com sinal mas sem fio; ","")&amp;IF(AND(D142="NC",K142&gt;0),"pino NC com fio; ","")&amp;IF(AND(K142&gt;1,ISERROR(MATCH(IFERROR(INDEX(Connectors!$D$2:$D$1000,MATCH(A142,Connectors!$A$2:$A$1000,0)),""),{"SPLICE","STUD"},0))),"vários fios no mesmo pino; ","")</f>
        <v/>
      </c>
      <c r="M142" s="11">
        <f>A142&amp;":"&amp;B142&amp;IF(EXACT(B142,UPPER(B142)),"","|lc")</f>
        <v/>
      </c>
      <c r="N142" s="11">
        <f>IFERROR(MATCH(M142,Wires!$W$2:$W$1000,0),IFERROR(MATCH(M142,Wires!$X$2:$X$1000,0),""))</f>
        <v/>
      </c>
      <c r="O142" s="11">
        <f>IF(N142="","",IF(ISNUMBER(MATCH(M142,Wires!$W$2:$W$1000,0)),"from","to"))</f>
        <v/>
      </c>
    </row>
    <row r="143">
      <c r="A143" s="9" t="inlineStr">
        <is>
          <t>DATABOX J2</t>
        </is>
      </c>
      <c r="B143" s="9" t="inlineStr">
        <is>
          <t>A</t>
        </is>
      </c>
      <c r="C143" s="9" t="inlineStr">
        <is>
          <t>FAN 24V</t>
        </is>
      </c>
      <c r="D143" s="9" t="inlineStr">
        <is>
          <t>OUT</t>
        </is>
      </c>
      <c r="E143" s="9" t="inlineStr">
        <is>
          <t>24V</t>
        </is>
      </c>
      <c r="F143" s="11">
        <f>IF(N143="","",INDEX(Wires!$A$2:$A$1000,N143))</f>
        <v/>
      </c>
      <c r="G143" s="11">
        <f>IF(N143="","",INDEX(Wires!$C$2:$C$1000,N143))</f>
        <v/>
      </c>
      <c r="H143" s="11">
        <f>IF(N143="","",IF(O143="from",INDEX(Wires!$F$2:$F$1000,N143)&amp;":"&amp;INDEX(Wires!$G$2:$G$1000,N143),INDEX(Wires!$D$2:$D$1000,N143)&amp;":"&amp;INDEX(Wires!$E$2:$E$1000,N143)))</f>
        <v/>
      </c>
      <c r="I143" s="11">
        <f>IF(N143="","",INDEX(Wires!$H$2:$H$1000,N143)&amp;"")</f>
        <v/>
      </c>
      <c r="J143" s="11">
        <f>IF(N143="","",IF(INDEX(Wires!$I$2:$I$1000,N143)="","",INDEX(Wires!$I$2:$I$1000,N143)))</f>
        <v/>
      </c>
      <c r="K143" s="11">
        <f>COUNTIF(Wires!$W$2:$W$1000,M143)+COUNTIF(Wires!$X$2:$X$1000,M143)</f>
        <v/>
      </c>
      <c r="L143" s="11">
        <f>IF(AND(K143=0,C143&lt;&gt;"",D143&lt;&gt;"NC"),"pino com sinal mas sem fio; ","")&amp;IF(AND(D143="NC",K143&gt;0),"pino NC com fio; ","")&amp;IF(AND(K143&gt;1,ISERROR(MATCH(IFERROR(INDEX(Connectors!$D$2:$D$1000,MATCH(A143,Connectors!$A$2:$A$1000,0)),""),{"SPLICE","STUD"},0))),"vários fios no mesmo pino; ","")</f>
        <v/>
      </c>
      <c r="M143" s="11">
        <f>A143&amp;":"&amp;B143&amp;IF(EXACT(B143,UPPER(B143)),"","|lc")</f>
        <v/>
      </c>
      <c r="N143" s="11">
        <f>IFERROR(MATCH(M143,Wires!$W$2:$W$1000,0),IFERROR(MATCH(M143,Wires!$X$2:$X$1000,0),""))</f>
        <v/>
      </c>
      <c r="O143" s="11">
        <f>IF(N143="","",IF(ISNUMBER(MATCH(M143,Wires!$W$2:$W$1000,0)),"from","to"))</f>
        <v/>
      </c>
    </row>
    <row r="144">
      <c r="A144" s="9" t="inlineStr">
        <is>
          <t>DATABOX J2</t>
        </is>
      </c>
      <c r="B144" s="9" t="inlineStr">
        <is>
          <t>B</t>
        </is>
      </c>
      <c r="C144" s="9" t="inlineStr">
        <is>
          <t>FAN GND</t>
        </is>
      </c>
      <c r="D144" s="9" t="inlineStr">
        <is>
          <t>OUT</t>
        </is>
      </c>
      <c r="E144" s="9" t="inlineStr">
        <is>
          <t>0V</t>
        </is>
      </c>
      <c r="F144" s="11">
        <f>IF(N144="","",INDEX(Wires!$A$2:$A$1000,N144))</f>
        <v/>
      </c>
      <c r="G144" s="11">
        <f>IF(N144="","",INDEX(Wires!$C$2:$C$1000,N144))</f>
        <v/>
      </c>
      <c r="H144" s="11">
        <f>IF(N144="","",IF(O144="from",INDEX(Wires!$F$2:$F$1000,N144)&amp;":"&amp;INDEX(Wires!$G$2:$G$1000,N144),INDEX(Wires!$D$2:$D$1000,N144)&amp;":"&amp;INDEX(Wires!$E$2:$E$1000,N144)))</f>
        <v/>
      </c>
      <c r="I144" s="11">
        <f>IF(N144="","",INDEX(Wires!$H$2:$H$1000,N144)&amp;"")</f>
        <v/>
      </c>
      <c r="J144" s="11">
        <f>IF(N144="","",IF(INDEX(Wires!$I$2:$I$1000,N144)="","",INDEX(Wires!$I$2:$I$1000,N144)))</f>
        <v/>
      </c>
      <c r="K144" s="11">
        <f>COUNTIF(Wires!$W$2:$W$1000,M144)+COUNTIF(Wires!$X$2:$X$1000,M144)</f>
        <v/>
      </c>
      <c r="L144" s="11">
        <f>IF(AND(K144=0,C144&lt;&gt;"",D144&lt;&gt;"NC"),"pino com sinal mas sem fio; ","")&amp;IF(AND(D144="NC",K144&gt;0),"pino NC com fio; ","")&amp;IF(AND(K144&gt;1,ISERROR(MATCH(IFERROR(INDEX(Connectors!$D$2:$D$1000,MATCH(A144,Connectors!$A$2:$A$1000,0)),""),{"SPLICE","STUD"},0))),"vários fios no mesmo pino; ","")</f>
        <v/>
      </c>
      <c r="M144" s="11">
        <f>A144&amp;":"&amp;B144&amp;IF(EXACT(B144,UPPER(B144)),"","|lc")</f>
        <v/>
      </c>
      <c r="N144" s="11">
        <f>IFERROR(MATCH(M144,Wires!$W$2:$W$1000,0),IFERROR(MATCH(M144,Wires!$X$2:$X$1000,0),""))</f>
        <v/>
      </c>
      <c r="O144" s="11">
        <f>IF(N144="","",IF(ISNUMBER(MATCH(M144,Wires!$W$2:$W$1000,0)),"from","to"))</f>
        <v/>
      </c>
    </row>
    <row r="145">
      <c r="A145" s="9" t="inlineStr">
        <is>
          <t>DATABOX J2</t>
        </is>
      </c>
      <c r="B145" s="9" t="inlineStr">
        <is>
          <t>C</t>
        </is>
      </c>
      <c r="C145" s="9" t="inlineStr">
        <is>
          <t>LED R2D Signal</t>
        </is>
      </c>
      <c r="D145" s="9" t="inlineStr">
        <is>
          <t>OUT</t>
        </is>
      </c>
      <c r="E145" s="9" t="inlineStr">
        <is>
          <t>0V</t>
        </is>
      </c>
      <c r="F145" s="11">
        <f>IF(N145="","",INDEX(Wires!$A$2:$A$1000,N145))</f>
        <v/>
      </c>
      <c r="G145" s="11">
        <f>IF(N145="","",INDEX(Wires!$C$2:$C$1000,N145))</f>
        <v/>
      </c>
      <c r="H145" s="11">
        <f>IF(N145="","",IF(O145="from",INDEX(Wires!$F$2:$F$1000,N145)&amp;":"&amp;INDEX(Wires!$G$2:$G$1000,N145),INDEX(Wires!$D$2:$D$1000,N145)&amp;":"&amp;INDEX(Wires!$E$2:$E$1000,N145)))</f>
        <v/>
      </c>
      <c r="I145" s="11">
        <f>IF(N145="","",INDEX(Wires!$H$2:$H$1000,N145)&amp;"")</f>
        <v/>
      </c>
      <c r="J145" s="11">
        <f>IF(N145="","",IF(INDEX(Wires!$I$2:$I$1000,N145)="","",INDEX(Wires!$I$2:$I$1000,N145)))</f>
        <v/>
      </c>
      <c r="K145" s="11">
        <f>COUNTIF(Wires!$W$2:$W$1000,M145)+COUNTIF(Wires!$X$2:$X$1000,M145)</f>
        <v/>
      </c>
      <c r="L145" s="11">
        <f>IF(AND(K145=0,C145&lt;&gt;"",D145&lt;&gt;"NC"),"pino com sinal mas sem fio; ","")&amp;IF(AND(D145="NC",K145&gt;0),"pino NC com fio; ","")&amp;IF(AND(K145&gt;1,ISERROR(MATCH(IFERROR(INDEX(Connectors!$D$2:$D$1000,MATCH(A145,Connectors!$A$2:$A$1000,0)),""),{"SPLICE","STUD"},0))),"vários fios no mesmo pino; ","")</f>
        <v/>
      </c>
      <c r="M145" s="11">
        <f>A145&amp;":"&amp;B145&amp;IF(EXACT(B145,UPPER(B145)),"","|lc")</f>
        <v/>
      </c>
      <c r="N145" s="11">
        <f>IFERROR(MATCH(M145,Wires!$W$2:$W$1000,0),IFERROR(MATCH(M145,Wires!$X$2:$X$1000,0),""))</f>
        <v/>
      </c>
      <c r="O145" s="11">
        <f>IF(N145="","",IF(ISNUMBER(MATCH(M145,Wires!$W$2:$W$1000,0)),"from","to"))</f>
        <v/>
      </c>
    </row>
    <row r="146">
      <c r="A146" s="9" t="inlineStr">
        <is>
          <t>DATABOX J2</t>
        </is>
      </c>
      <c r="B146" s="9" t="inlineStr">
        <is>
          <t>D</t>
        </is>
      </c>
      <c r="C146" s="9" t="inlineStr">
        <is>
          <t>Shutdown In</t>
        </is>
      </c>
      <c r="D146" s="9" t="inlineStr">
        <is>
          <t>OUT</t>
        </is>
      </c>
      <c r="E146" s="9" t="inlineStr">
        <is>
          <t>24V</t>
        </is>
      </c>
      <c r="F146" s="11">
        <f>IF(N146="","",INDEX(Wires!$A$2:$A$1000,N146))</f>
        <v/>
      </c>
      <c r="G146" s="11">
        <f>IF(N146="","",INDEX(Wires!$C$2:$C$1000,N146))</f>
        <v/>
      </c>
      <c r="H146" s="11">
        <f>IF(N146="","",IF(O146="from",INDEX(Wires!$F$2:$F$1000,N146)&amp;":"&amp;INDEX(Wires!$G$2:$G$1000,N146),INDEX(Wires!$D$2:$D$1000,N146)&amp;":"&amp;INDEX(Wires!$E$2:$E$1000,N146)))</f>
        <v/>
      </c>
      <c r="I146" s="11">
        <f>IF(N146="","",INDEX(Wires!$H$2:$H$1000,N146)&amp;"")</f>
        <v/>
      </c>
      <c r="J146" s="11">
        <f>IF(N146="","",IF(INDEX(Wires!$I$2:$I$1000,N146)="","",INDEX(Wires!$I$2:$I$1000,N146)))</f>
        <v/>
      </c>
      <c r="K146" s="11">
        <f>COUNTIF(Wires!$W$2:$W$1000,M146)+COUNTIF(Wires!$X$2:$X$1000,M146)</f>
        <v/>
      </c>
      <c r="L146" s="11">
        <f>IF(AND(K146=0,C146&lt;&gt;"",D146&lt;&gt;"NC"),"pino com sinal mas sem fio; ","")&amp;IF(AND(D146="NC",K146&gt;0),"pino NC com fio; ","")&amp;IF(AND(K146&gt;1,ISERROR(MATCH(IFERROR(INDEX(Connectors!$D$2:$D$1000,MATCH(A146,Connectors!$A$2:$A$1000,0)),""),{"SPLICE","STUD"},0))),"vários fios no mesmo pino; ","")</f>
        <v/>
      </c>
      <c r="M146" s="11">
        <f>A146&amp;":"&amp;B146&amp;IF(EXACT(B146,UPPER(B146)),"","|lc")</f>
        <v/>
      </c>
      <c r="N146" s="11">
        <f>IFERROR(MATCH(M146,Wires!$W$2:$W$1000,0),IFERROR(MATCH(M146,Wires!$X$2:$X$1000,0),""))</f>
        <v/>
      </c>
      <c r="O146" s="11">
        <f>IF(N146="","",IF(ISNUMBER(MATCH(M146,Wires!$W$2:$W$1000,0)),"from","to"))</f>
        <v/>
      </c>
    </row>
    <row r="147">
      <c r="A147" s="9" t="inlineStr">
        <is>
          <t>DATABOX J2</t>
        </is>
      </c>
      <c r="B147" s="9" t="inlineStr">
        <is>
          <t>E</t>
        </is>
      </c>
      <c r="C147" s="9" t="inlineStr">
        <is>
          <t>Shutdown Out</t>
        </is>
      </c>
      <c r="D147" s="9" t="inlineStr">
        <is>
          <t>IN</t>
        </is>
      </c>
      <c r="E147" s="9" t="inlineStr">
        <is>
          <t>24V</t>
        </is>
      </c>
      <c r="F147" s="11">
        <f>IF(N147="","",INDEX(Wires!$A$2:$A$1000,N147))</f>
        <v/>
      </c>
      <c r="G147" s="11">
        <f>IF(N147="","",INDEX(Wires!$C$2:$C$1000,N147))</f>
        <v/>
      </c>
      <c r="H147" s="11">
        <f>IF(N147="","",IF(O147="from",INDEX(Wires!$F$2:$F$1000,N147)&amp;":"&amp;INDEX(Wires!$G$2:$G$1000,N147),INDEX(Wires!$D$2:$D$1000,N147)&amp;":"&amp;INDEX(Wires!$E$2:$E$1000,N147)))</f>
        <v/>
      </c>
      <c r="I147" s="11">
        <f>IF(N147="","",INDEX(Wires!$H$2:$H$1000,N147)&amp;"")</f>
        <v/>
      </c>
      <c r="J147" s="11">
        <f>IF(N147="","",IF(INDEX(Wires!$I$2:$I$1000,N147)="","",INDEX(Wires!$I$2:$I$1000,N147)))</f>
        <v/>
      </c>
      <c r="K147" s="11">
        <f>COUNTIF(Wires!$W$2:$W$1000,M147)+COUNTIF(Wires!$X$2:$X$1000,M147)</f>
        <v/>
      </c>
      <c r="L147" s="11">
        <f>IF(AND(K147=0,C147&lt;&gt;"",D147&lt;&gt;"NC"),"pino com sinal mas sem fio; ","")&amp;IF(AND(D147="NC",K147&gt;0),"pino NC com fio; ","")&amp;IF(AND(K147&gt;1,ISERROR(MATCH(IFERROR(INDEX(Connectors!$D$2:$D$1000,MATCH(A147,Connectors!$A$2:$A$1000,0)),""),{"SPLICE","STUD"},0))),"vários fios no mesmo pino; ","")</f>
        <v/>
      </c>
      <c r="M147" s="11">
        <f>A147&amp;":"&amp;B147&amp;IF(EXACT(B147,UPPER(B147)),"","|lc")</f>
        <v/>
      </c>
      <c r="N147" s="11">
        <f>IFERROR(MATCH(M147,Wires!$W$2:$W$1000,0),IFERROR(MATCH(M147,Wires!$X$2:$X$1000,0),""))</f>
        <v/>
      </c>
      <c r="O147" s="11">
        <f>IF(N147="","",IF(ISNUMBER(MATCH(M147,Wires!$W$2:$W$1000,0)),"from","to"))</f>
        <v/>
      </c>
    </row>
    <row r="148">
      <c r="A148" s="9" t="inlineStr">
        <is>
          <t>DATABOX J2</t>
        </is>
      </c>
      <c r="B148" s="9" t="inlineStr">
        <is>
          <t>F</t>
        </is>
      </c>
      <c r="C148" s="9" t="inlineStr">
        <is>
          <t>AMS_LED_Signal</t>
        </is>
      </c>
      <c r="D148" s="9" t="inlineStr">
        <is>
          <t>OUT</t>
        </is>
      </c>
      <c r="E148" s="9" t="inlineStr">
        <is>
          <t>0V</t>
        </is>
      </c>
      <c r="F148" s="11">
        <f>IF(N148="","",INDEX(Wires!$A$2:$A$1000,N148))</f>
        <v/>
      </c>
      <c r="G148" s="11">
        <f>IF(N148="","",INDEX(Wires!$C$2:$C$1000,N148))</f>
        <v/>
      </c>
      <c r="H148" s="11">
        <f>IF(N148="","",IF(O148="from",INDEX(Wires!$F$2:$F$1000,N148)&amp;":"&amp;INDEX(Wires!$G$2:$G$1000,N148),INDEX(Wires!$D$2:$D$1000,N148)&amp;":"&amp;INDEX(Wires!$E$2:$E$1000,N148)))</f>
        <v/>
      </c>
      <c r="I148" s="11">
        <f>IF(N148="","",INDEX(Wires!$H$2:$H$1000,N148)&amp;"")</f>
        <v/>
      </c>
      <c r="J148" s="11">
        <f>IF(N148="","",IF(INDEX(Wires!$I$2:$I$1000,N148)="","",INDEX(Wires!$I$2:$I$1000,N148)))</f>
        <v/>
      </c>
      <c r="K148" s="11">
        <f>COUNTIF(Wires!$W$2:$W$1000,M148)+COUNTIF(Wires!$X$2:$X$1000,M148)</f>
        <v/>
      </c>
      <c r="L148" s="11">
        <f>IF(AND(K148=0,C148&lt;&gt;"",D148&lt;&gt;"NC"),"pino com sinal mas sem fio; ","")&amp;IF(AND(D148="NC",K148&gt;0),"pino NC com fio; ","")&amp;IF(AND(K148&gt;1,ISERROR(MATCH(IFERROR(INDEX(Connectors!$D$2:$D$1000,MATCH(A148,Connectors!$A$2:$A$1000,0)),""),{"SPLICE","STUD"},0))),"vários fios no mesmo pino; ","")</f>
        <v/>
      </c>
      <c r="M148" s="11">
        <f>A148&amp;":"&amp;B148&amp;IF(EXACT(B148,UPPER(B148)),"","|lc")</f>
        <v/>
      </c>
      <c r="N148" s="11">
        <f>IFERROR(MATCH(M148,Wires!$W$2:$W$1000,0),IFERROR(MATCH(M148,Wires!$X$2:$X$1000,0),""))</f>
        <v/>
      </c>
      <c r="O148" s="11">
        <f>IF(N148="","",IF(ISNUMBER(MATCH(M148,Wires!$W$2:$W$1000,0)),"from","to"))</f>
        <v/>
      </c>
    </row>
    <row r="149">
      <c r="A149" s="9" t="inlineStr">
        <is>
          <t>DATABOX J2</t>
        </is>
      </c>
      <c r="B149" s="9" t="inlineStr">
        <is>
          <t>G</t>
        </is>
      </c>
      <c r="C149" s="9" t="inlineStr">
        <is>
          <t>TS_OFF_LED_Signal</t>
        </is>
      </c>
      <c r="D149" s="9" t="inlineStr">
        <is>
          <t>OUT</t>
        </is>
      </c>
      <c r="E149" s="9" t="inlineStr">
        <is>
          <t>3.3V</t>
        </is>
      </c>
      <c r="F149" s="11">
        <f>IF(N149="","",INDEX(Wires!$A$2:$A$1000,N149))</f>
        <v/>
      </c>
      <c r="G149" s="11">
        <f>IF(N149="","",INDEX(Wires!$C$2:$C$1000,N149))</f>
        <v/>
      </c>
      <c r="H149" s="11">
        <f>IF(N149="","",IF(O149="from",INDEX(Wires!$F$2:$F$1000,N149)&amp;":"&amp;INDEX(Wires!$G$2:$G$1000,N149),INDEX(Wires!$D$2:$D$1000,N149)&amp;":"&amp;INDEX(Wires!$E$2:$E$1000,N149)))</f>
        <v/>
      </c>
      <c r="I149" s="11">
        <f>IF(N149="","",INDEX(Wires!$H$2:$H$1000,N149)&amp;"")</f>
        <v/>
      </c>
      <c r="J149" s="11">
        <f>IF(N149="","",IF(INDEX(Wires!$I$2:$I$1000,N149)="","",INDEX(Wires!$I$2:$I$1000,N149)))</f>
        <v/>
      </c>
      <c r="K149" s="11">
        <f>COUNTIF(Wires!$W$2:$W$1000,M149)+COUNTIF(Wires!$X$2:$X$1000,M149)</f>
        <v/>
      </c>
      <c r="L149" s="11">
        <f>IF(AND(K149=0,C149&lt;&gt;"",D149&lt;&gt;"NC"),"pino com sinal mas sem fio; ","")&amp;IF(AND(D149="NC",K149&gt;0),"pino NC com fio; ","")&amp;IF(AND(K149&gt;1,ISERROR(MATCH(IFERROR(INDEX(Connectors!$D$2:$D$1000,MATCH(A149,Connectors!$A$2:$A$1000,0)),""),{"SPLICE","STUD"},0))),"vários fios no mesmo pino; ","")</f>
        <v/>
      </c>
      <c r="M149" s="11">
        <f>A149&amp;":"&amp;B149&amp;IF(EXACT(B149,UPPER(B149)),"","|lc")</f>
        <v/>
      </c>
      <c r="N149" s="11">
        <f>IFERROR(MATCH(M149,Wires!$W$2:$W$1000,0),IFERROR(MATCH(M149,Wires!$X$2:$X$1000,0),""))</f>
        <v/>
      </c>
      <c r="O149" s="11">
        <f>IF(N149="","",IF(ISNUMBER(MATCH(M149,Wires!$W$2:$W$1000,0)),"from","to"))</f>
        <v/>
      </c>
    </row>
    <row r="150">
      <c r="A150" s="9" t="inlineStr">
        <is>
          <t>DATABOX J2</t>
        </is>
      </c>
      <c r="B150" s="9" t="inlineStr">
        <is>
          <t>H</t>
        </is>
      </c>
      <c r="C150" s="9" t="inlineStr">
        <is>
          <t>IMD_LED_Signal</t>
        </is>
      </c>
      <c r="D150" s="9" t="inlineStr">
        <is>
          <t>OUT</t>
        </is>
      </c>
      <c r="E150" s="9" t="inlineStr">
        <is>
          <t>0V</t>
        </is>
      </c>
      <c r="F150" s="11">
        <f>IF(N150="","",INDEX(Wires!$A$2:$A$1000,N150))</f>
        <v/>
      </c>
      <c r="G150" s="11">
        <f>IF(N150="","",INDEX(Wires!$C$2:$C$1000,N150))</f>
        <v/>
      </c>
      <c r="H150" s="11">
        <f>IF(N150="","",IF(O150="from",INDEX(Wires!$F$2:$F$1000,N150)&amp;":"&amp;INDEX(Wires!$G$2:$G$1000,N150),INDEX(Wires!$D$2:$D$1000,N150)&amp;":"&amp;INDEX(Wires!$E$2:$E$1000,N150)))</f>
        <v/>
      </c>
      <c r="I150" s="11">
        <f>IF(N150="","",INDEX(Wires!$H$2:$H$1000,N150)&amp;"")</f>
        <v/>
      </c>
      <c r="J150" s="11">
        <f>IF(N150="","",IF(INDEX(Wires!$I$2:$I$1000,N150)="","",INDEX(Wires!$I$2:$I$1000,N150)))</f>
        <v/>
      </c>
      <c r="K150" s="11">
        <f>COUNTIF(Wires!$W$2:$W$1000,M150)+COUNTIF(Wires!$X$2:$X$1000,M150)</f>
        <v/>
      </c>
      <c r="L150" s="11">
        <f>IF(AND(K150=0,C150&lt;&gt;"",D150&lt;&gt;"NC"),"pino com sinal mas sem fio; ","")&amp;IF(AND(D150="NC",K150&gt;0),"pino NC com fio; ","")&amp;IF(AND(K150&gt;1,ISERROR(MATCH(IFERROR(INDEX(Connectors!$D$2:$D$1000,MATCH(A150,Connectors!$A$2:$A$1000,0)),""),{"SPLICE","STUD"},0))),"vários fios no mesmo pino; ","")</f>
        <v/>
      </c>
      <c r="M150" s="11">
        <f>A150&amp;":"&amp;B150&amp;IF(EXACT(B150,UPPER(B150)),"","|lc")</f>
        <v/>
      </c>
      <c r="N150" s="11">
        <f>IFERROR(MATCH(M150,Wires!$W$2:$W$1000,0),IFERROR(MATCH(M150,Wires!$X$2:$X$1000,0),""))</f>
        <v/>
      </c>
      <c r="O150" s="11">
        <f>IF(N150="","",IF(ISNUMBER(MATCH(M150,Wires!$W$2:$W$1000,0)),"from","to"))</f>
        <v/>
      </c>
    </row>
    <row r="151">
      <c r="A151" s="9" t="inlineStr">
        <is>
          <t>DATABOX J2</t>
        </is>
      </c>
      <c r="B151" s="9" t="inlineStr">
        <is>
          <t>J</t>
        </is>
      </c>
      <c r="C151" s="9" t="inlineStr">
        <is>
          <t>SDC_LED_Signal</t>
        </is>
      </c>
      <c r="D151" s="9" t="inlineStr">
        <is>
          <t>OUT</t>
        </is>
      </c>
      <c r="E151" s="9" t="inlineStr">
        <is>
          <t>24V</t>
        </is>
      </c>
      <c r="F151" s="11">
        <f>IF(N151="","",INDEX(Wires!$A$2:$A$1000,N151))</f>
        <v/>
      </c>
      <c r="G151" s="11">
        <f>IF(N151="","",INDEX(Wires!$C$2:$C$1000,N151))</f>
        <v/>
      </c>
      <c r="H151" s="11">
        <f>IF(N151="","",IF(O151="from",INDEX(Wires!$F$2:$F$1000,N151)&amp;":"&amp;INDEX(Wires!$G$2:$G$1000,N151),INDEX(Wires!$D$2:$D$1000,N151)&amp;":"&amp;INDEX(Wires!$E$2:$E$1000,N151)))</f>
        <v/>
      </c>
      <c r="I151" s="11">
        <f>IF(N151="","",INDEX(Wires!$H$2:$H$1000,N151)&amp;"")</f>
        <v/>
      </c>
      <c r="J151" s="11">
        <f>IF(N151="","",IF(INDEX(Wires!$I$2:$I$1000,N151)="","",INDEX(Wires!$I$2:$I$1000,N151)))</f>
        <v/>
      </c>
      <c r="K151" s="11">
        <f>COUNTIF(Wires!$W$2:$W$1000,M151)+COUNTIF(Wires!$X$2:$X$1000,M151)</f>
        <v/>
      </c>
      <c r="L151" s="11">
        <f>IF(AND(K151=0,C151&lt;&gt;"",D151&lt;&gt;"NC"),"pino com sinal mas sem fio; ","")&amp;IF(AND(D151="NC",K151&gt;0),"pino NC com fio; ","")&amp;IF(AND(K151&gt;1,ISERROR(MATCH(IFERROR(INDEX(Connectors!$D$2:$D$1000,MATCH(A151,Connectors!$A$2:$A$1000,0)),""),{"SPLICE","STUD"},0))),"vários fios no mesmo pino; ","")</f>
        <v/>
      </c>
      <c r="M151" s="11">
        <f>A151&amp;":"&amp;B151&amp;IF(EXACT(B151,UPPER(B151)),"","|lc")</f>
        <v/>
      </c>
      <c r="N151" s="11">
        <f>IFERROR(MATCH(M151,Wires!$W$2:$W$1000,0),IFERROR(MATCH(M151,Wires!$X$2:$X$1000,0),""))</f>
        <v/>
      </c>
      <c r="O151" s="11">
        <f>IF(N151="","",IF(ISNUMBER(MATCH(M151,Wires!$W$2:$W$1000,0)),"from","to"))</f>
        <v/>
      </c>
    </row>
    <row r="152">
      <c r="A152" s="9" t="inlineStr">
        <is>
          <t>DATABOX J2</t>
        </is>
      </c>
      <c r="B152" s="9" t="inlineStr">
        <is>
          <t>K</t>
        </is>
      </c>
      <c r="C152" s="9" t="inlineStr">
        <is>
          <t>LV_ON_LED_Signal</t>
        </is>
      </c>
      <c r="D152" s="9" t="inlineStr">
        <is>
          <t>OUT</t>
        </is>
      </c>
      <c r="E152" s="9" t="inlineStr">
        <is>
          <t>24V</t>
        </is>
      </c>
      <c r="F152" s="11">
        <f>IF(N152="","",INDEX(Wires!$A$2:$A$1000,N152))</f>
        <v/>
      </c>
      <c r="G152" s="11">
        <f>IF(N152="","",INDEX(Wires!$C$2:$C$1000,N152))</f>
        <v/>
      </c>
      <c r="H152" s="11">
        <f>IF(N152="","",IF(O152="from",INDEX(Wires!$F$2:$F$1000,N152)&amp;":"&amp;INDEX(Wires!$G$2:$G$1000,N152),INDEX(Wires!$D$2:$D$1000,N152)&amp;":"&amp;INDEX(Wires!$E$2:$E$1000,N152)))</f>
        <v/>
      </c>
      <c r="I152" s="11">
        <f>IF(N152="","",INDEX(Wires!$H$2:$H$1000,N152)&amp;"")</f>
        <v/>
      </c>
      <c r="J152" s="11">
        <f>IF(N152="","",IF(INDEX(Wires!$I$2:$I$1000,N152)="","",INDEX(Wires!$I$2:$I$1000,N152)))</f>
        <v/>
      </c>
      <c r="K152" s="11">
        <f>COUNTIF(Wires!$W$2:$W$1000,M152)+COUNTIF(Wires!$X$2:$X$1000,M152)</f>
        <v/>
      </c>
      <c r="L152" s="11">
        <f>IF(AND(K152=0,C152&lt;&gt;"",D152&lt;&gt;"NC"),"pino com sinal mas sem fio; ","")&amp;IF(AND(D152="NC",K152&gt;0),"pino NC com fio; ","")&amp;IF(AND(K152&gt;1,ISERROR(MATCH(IFERROR(INDEX(Connectors!$D$2:$D$1000,MATCH(A152,Connectors!$A$2:$A$1000,0)),""),{"SPLICE","STUD"},0))),"vários fios no mesmo pino; ","")</f>
        <v/>
      </c>
      <c r="M152" s="11">
        <f>A152&amp;":"&amp;B152&amp;IF(EXACT(B152,UPPER(B152)),"","|lc")</f>
        <v/>
      </c>
      <c r="N152" s="11">
        <f>IFERROR(MATCH(M152,Wires!$W$2:$W$1000,0),IFERROR(MATCH(M152,Wires!$X$2:$X$1000,0),""))</f>
        <v/>
      </c>
      <c r="O152" s="11">
        <f>IF(N152="","",IF(ISNUMBER(MATCH(M152,Wires!$W$2:$W$1000,0)),"from","to"))</f>
        <v/>
      </c>
    </row>
    <row r="153">
      <c r="A153" s="9" t="inlineStr">
        <is>
          <t>DATABOX J2</t>
        </is>
      </c>
      <c r="B153" s="9" t="inlineStr">
        <is>
          <t>L</t>
        </is>
      </c>
      <c r="C153" s="9" t="n"/>
      <c r="D153" s="9" t="n"/>
      <c r="E153" s="9" t="n"/>
      <c r="F153" s="11">
        <f>IF(N153="","",INDEX(Wires!$A$2:$A$1000,N153))</f>
        <v/>
      </c>
      <c r="G153" s="11">
        <f>IF(N153="","",INDEX(Wires!$C$2:$C$1000,N153))</f>
        <v/>
      </c>
      <c r="H153" s="11">
        <f>IF(N153="","",IF(O153="from",INDEX(Wires!$F$2:$F$1000,N153)&amp;":"&amp;INDEX(Wires!$G$2:$G$1000,N153),INDEX(Wires!$D$2:$D$1000,N153)&amp;":"&amp;INDEX(Wires!$E$2:$E$1000,N153)))</f>
        <v/>
      </c>
      <c r="I153" s="11">
        <f>IF(N153="","",INDEX(Wires!$H$2:$H$1000,N153)&amp;"")</f>
        <v/>
      </c>
      <c r="J153" s="11">
        <f>IF(N153="","",IF(INDEX(Wires!$I$2:$I$1000,N153)="","",INDEX(Wires!$I$2:$I$1000,N153)))</f>
        <v/>
      </c>
      <c r="K153" s="11">
        <f>COUNTIF(Wires!$W$2:$W$1000,M153)+COUNTIF(Wires!$X$2:$X$1000,M153)</f>
        <v/>
      </c>
      <c r="L153" s="11">
        <f>IF(AND(K153=0,C153&lt;&gt;"",D153&lt;&gt;"NC"),"pino com sinal mas sem fio; ","")&amp;IF(AND(D153="NC",K153&gt;0),"pino NC com fio; ","")&amp;IF(AND(K153&gt;1,ISERROR(MATCH(IFERROR(INDEX(Connectors!$D$2:$D$1000,MATCH(A153,Connectors!$A$2:$A$1000,0)),""),{"SPLICE","STUD"},0))),"vários fios no mesmo pino; ","")</f>
        <v/>
      </c>
      <c r="M153" s="11">
        <f>A153&amp;":"&amp;B153&amp;IF(EXACT(B153,UPPER(B153)),"","|lc")</f>
        <v/>
      </c>
      <c r="N153" s="11">
        <f>IFERROR(MATCH(M153,Wires!$W$2:$W$1000,0),IFERROR(MATCH(M153,Wires!$X$2:$X$1000,0),""))</f>
        <v/>
      </c>
      <c r="O153" s="11">
        <f>IF(N153="","",IF(ISNUMBER(MATCH(M153,Wires!$W$2:$W$1000,0)),"from","to"))</f>
        <v/>
      </c>
    </row>
    <row r="154">
      <c r="A154" s="9" t="inlineStr">
        <is>
          <t>DATABOX J2</t>
        </is>
      </c>
      <c r="B154" s="9" t="inlineStr">
        <is>
          <t>M</t>
        </is>
      </c>
      <c r="C154" s="9" t="n"/>
      <c r="D154" s="9" t="n"/>
      <c r="E154" s="9" t="n"/>
      <c r="F154" s="11">
        <f>IF(N154="","",INDEX(Wires!$A$2:$A$1000,N154))</f>
        <v/>
      </c>
      <c r="G154" s="11">
        <f>IF(N154="","",INDEX(Wires!$C$2:$C$1000,N154))</f>
        <v/>
      </c>
      <c r="H154" s="11">
        <f>IF(N154="","",IF(O154="from",INDEX(Wires!$F$2:$F$1000,N154)&amp;":"&amp;INDEX(Wires!$G$2:$G$1000,N154),INDEX(Wires!$D$2:$D$1000,N154)&amp;":"&amp;INDEX(Wires!$E$2:$E$1000,N154)))</f>
        <v/>
      </c>
      <c r="I154" s="11">
        <f>IF(N154="","",INDEX(Wires!$H$2:$H$1000,N154)&amp;"")</f>
        <v/>
      </c>
      <c r="J154" s="11">
        <f>IF(N154="","",IF(INDEX(Wires!$I$2:$I$1000,N154)="","",INDEX(Wires!$I$2:$I$1000,N154)))</f>
        <v/>
      </c>
      <c r="K154" s="11">
        <f>COUNTIF(Wires!$W$2:$W$1000,M154)+COUNTIF(Wires!$X$2:$X$1000,M154)</f>
        <v/>
      </c>
      <c r="L154" s="11">
        <f>IF(AND(K154=0,C154&lt;&gt;"",D154&lt;&gt;"NC"),"pino com sinal mas sem fio; ","")&amp;IF(AND(D154="NC",K154&gt;0),"pino NC com fio; ","")&amp;IF(AND(K154&gt;1,ISERROR(MATCH(IFERROR(INDEX(Connectors!$D$2:$D$1000,MATCH(A154,Connectors!$A$2:$A$1000,0)),""),{"SPLICE","STUD"},0))),"vários fios no mesmo pino; ","")</f>
        <v/>
      </c>
      <c r="M154" s="11">
        <f>A154&amp;":"&amp;B154&amp;IF(EXACT(B154,UPPER(B154)),"","|lc")</f>
        <v/>
      </c>
      <c r="N154" s="11">
        <f>IFERROR(MATCH(M154,Wires!$W$2:$W$1000,0),IFERROR(MATCH(M154,Wires!$X$2:$X$1000,0),""))</f>
        <v/>
      </c>
      <c r="O154" s="11">
        <f>IF(N154="","",IF(ISNUMBER(MATCH(M154,Wires!$W$2:$W$1000,0)),"from","to"))</f>
        <v/>
      </c>
    </row>
    <row r="155">
      <c r="A155" s="9" t="inlineStr">
        <is>
          <t>DATABOX J2</t>
        </is>
      </c>
      <c r="B155" s="9" t="inlineStr">
        <is>
          <t>N</t>
        </is>
      </c>
      <c r="C155" s="9" t="n"/>
      <c r="D155" s="9" t="n"/>
      <c r="E155" s="9" t="n"/>
      <c r="F155" s="11">
        <f>IF(N155="","",INDEX(Wires!$A$2:$A$1000,N155))</f>
        <v/>
      </c>
      <c r="G155" s="11">
        <f>IF(N155="","",INDEX(Wires!$C$2:$C$1000,N155))</f>
        <v/>
      </c>
      <c r="H155" s="11">
        <f>IF(N155="","",IF(O155="from",INDEX(Wires!$F$2:$F$1000,N155)&amp;":"&amp;INDEX(Wires!$G$2:$G$1000,N155),INDEX(Wires!$D$2:$D$1000,N155)&amp;":"&amp;INDEX(Wires!$E$2:$E$1000,N155)))</f>
        <v/>
      </c>
      <c r="I155" s="11">
        <f>IF(N155="","",INDEX(Wires!$H$2:$H$1000,N155)&amp;"")</f>
        <v/>
      </c>
      <c r="J155" s="11">
        <f>IF(N155="","",IF(INDEX(Wires!$I$2:$I$1000,N155)="","",INDEX(Wires!$I$2:$I$1000,N155)))</f>
        <v/>
      </c>
      <c r="K155" s="11">
        <f>COUNTIF(Wires!$W$2:$W$1000,M155)+COUNTIF(Wires!$X$2:$X$1000,M155)</f>
        <v/>
      </c>
      <c r="L155" s="11">
        <f>IF(AND(K155=0,C155&lt;&gt;"",D155&lt;&gt;"NC"),"pino com sinal mas sem fio; ","")&amp;IF(AND(D155="NC",K155&gt;0),"pino NC com fio; ","")&amp;IF(AND(K155&gt;1,ISERROR(MATCH(IFERROR(INDEX(Connectors!$D$2:$D$1000,MATCH(A155,Connectors!$A$2:$A$1000,0)),""),{"SPLICE","STUD"},0))),"vários fios no mesmo pino; ","")</f>
        <v/>
      </c>
      <c r="M155" s="11">
        <f>A155&amp;":"&amp;B155&amp;IF(EXACT(B155,UPPER(B155)),"","|lc")</f>
        <v/>
      </c>
      <c r="N155" s="11">
        <f>IFERROR(MATCH(M155,Wires!$W$2:$W$1000,0),IFERROR(MATCH(M155,Wires!$X$2:$X$1000,0),""))</f>
        <v/>
      </c>
      <c r="O155" s="11">
        <f>IF(N155="","",IF(ISNUMBER(MATCH(M155,Wires!$W$2:$W$1000,0)),"from","to"))</f>
        <v/>
      </c>
    </row>
    <row r="156">
      <c r="A156" s="9" t="inlineStr">
        <is>
          <t>DATABOX J2</t>
        </is>
      </c>
      <c r="B156" s="9" t="inlineStr">
        <is>
          <t>P</t>
        </is>
      </c>
      <c r="C156" s="9" t="n"/>
      <c r="D156" s="9" t="n"/>
      <c r="E156" s="9" t="n"/>
      <c r="F156" s="11">
        <f>IF(N156="","",INDEX(Wires!$A$2:$A$1000,N156))</f>
        <v/>
      </c>
      <c r="G156" s="11">
        <f>IF(N156="","",INDEX(Wires!$C$2:$C$1000,N156))</f>
        <v/>
      </c>
      <c r="H156" s="11">
        <f>IF(N156="","",IF(O156="from",INDEX(Wires!$F$2:$F$1000,N156)&amp;":"&amp;INDEX(Wires!$G$2:$G$1000,N156),INDEX(Wires!$D$2:$D$1000,N156)&amp;":"&amp;INDEX(Wires!$E$2:$E$1000,N156)))</f>
        <v/>
      </c>
      <c r="I156" s="11">
        <f>IF(N156="","",INDEX(Wires!$H$2:$H$1000,N156)&amp;"")</f>
        <v/>
      </c>
      <c r="J156" s="11">
        <f>IF(N156="","",IF(INDEX(Wires!$I$2:$I$1000,N156)="","",INDEX(Wires!$I$2:$I$1000,N156)))</f>
        <v/>
      </c>
      <c r="K156" s="11">
        <f>COUNTIF(Wires!$W$2:$W$1000,M156)+COUNTIF(Wires!$X$2:$X$1000,M156)</f>
        <v/>
      </c>
      <c r="L156" s="11">
        <f>IF(AND(K156=0,C156&lt;&gt;"",D156&lt;&gt;"NC"),"pino com sinal mas sem fio; ","")&amp;IF(AND(D156="NC",K156&gt;0),"pino NC com fio; ","")&amp;IF(AND(K156&gt;1,ISERROR(MATCH(IFERROR(INDEX(Connectors!$D$2:$D$1000,MATCH(A156,Connectors!$A$2:$A$1000,0)),""),{"SPLICE","STUD"},0))),"vários fios no mesmo pino; ","")</f>
        <v/>
      </c>
      <c r="M156" s="11">
        <f>A156&amp;":"&amp;B156&amp;IF(EXACT(B156,UPPER(B156)),"","|lc")</f>
        <v/>
      </c>
      <c r="N156" s="11">
        <f>IFERROR(MATCH(M156,Wires!$W$2:$W$1000,0),IFERROR(MATCH(M156,Wires!$X$2:$X$1000,0),""))</f>
        <v/>
      </c>
      <c r="O156" s="11">
        <f>IF(N156="","",IF(ISNUMBER(MATCH(M156,Wires!$W$2:$W$1000,0)),"from","to"))</f>
        <v/>
      </c>
    </row>
    <row r="157">
      <c r="A157" s="9" t="inlineStr">
        <is>
          <t>DATABOX J2</t>
        </is>
      </c>
      <c r="B157" s="9" t="inlineStr">
        <is>
          <t>R</t>
        </is>
      </c>
      <c r="C157" s="9" t="n"/>
      <c r="D157" s="9" t="n"/>
      <c r="E157" s="9" t="n"/>
      <c r="F157" s="11">
        <f>IF(N157="","",INDEX(Wires!$A$2:$A$1000,N157))</f>
        <v/>
      </c>
      <c r="G157" s="11">
        <f>IF(N157="","",INDEX(Wires!$C$2:$C$1000,N157))</f>
        <v/>
      </c>
      <c r="H157" s="11">
        <f>IF(N157="","",IF(O157="from",INDEX(Wires!$F$2:$F$1000,N157)&amp;":"&amp;INDEX(Wires!$G$2:$G$1000,N157),INDEX(Wires!$D$2:$D$1000,N157)&amp;":"&amp;INDEX(Wires!$E$2:$E$1000,N157)))</f>
        <v/>
      </c>
      <c r="I157" s="11">
        <f>IF(N157="","",INDEX(Wires!$H$2:$H$1000,N157)&amp;"")</f>
        <v/>
      </c>
      <c r="J157" s="11">
        <f>IF(N157="","",IF(INDEX(Wires!$I$2:$I$1000,N157)="","",INDEX(Wires!$I$2:$I$1000,N157)))</f>
        <v/>
      </c>
      <c r="K157" s="11">
        <f>COUNTIF(Wires!$W$2:$W$1000,M157)+COUNTIF(Wires!$X$2:$X$1000,M157)</f>
        <v/>
      </c>
      <c r="L157" s="11">
        <f>IF(AND(K157=0,C157&lt;&gt;"",D157&lt;&gt;"NC"),"pino com sinal mas sem fio; ","")&amp;IF(AND(D157="NC",K157&gt;0),"pino NC com fio; ","")&amp;IF(AND(K157&gt;1,ISERROR(MATCH(IFERROR(INDEX(Connectors!$D$2:$D$1000,MATCH(A157,Connectors!$A$2:$A$1000,0)),""),{"SPLICE","STUD"},0))),"vários fios no mesmo pino; ","")</f>
        <v/>
      </c>
      <c r="M157" s="11">
        <f>A157&amp;":"&amp;B157&amp;IF(EXACT(B157,UPPER(B157)),"","|lc")</f>
        <v/>
      </c>
      <c r="N157" s="11">
        <f>IFERROR(MATCH(M157,Wires!$W$2:$W$1000,0),IFERROR(MATCH(M157,Wires!$X$2:$X$1000,0),""))</f>
        <v/>
      </c>
      <c r="O157" s="11">
        <f>IF(N157="","",IF(ISNUMBER(MATCH(M157,Wires!$W$2:$W$1000,0)),"from","to"))</f>
        <v/>
      </c>
    </row>
    <row r="158">
      <c r="A158" s="9" t="inlineStr">
        <is>
          <t>DATABOX J2</t>
        </is>
      </c>
      <c r="B158" s="9" t="inlineStr">
        <is>
          <t>S</t>
        </is>
      </c>
      <c r="C158" s="9" t="n"/>
      <c r="D158" s="9" t="n"/>
      <c r="E158" s="9" t="n"/>
      <c r="F158" s="11">
        <f>IF(N158="","",INDEX(Wires!$A$2:$A$1000,N158))</f>
        <v/>
      </c>
      <c r="G158" s="11">
        <f>IF(N158="","",INDEX(Wires!$C$2:$C$1000,N158))</f>
        <v/>
      </c>
      <c r="H158" s="11">
        <f>IF(N158="","",IF(O158="from",INDEX(Wires!$F$2:$F$1000,N158)&amp;":"&amp;INDEX(Wires!$G$2:$G$1000,N158),INDEX(Wires!$D$2:$D$1000,N158)&amp;":"&amp;INDEX(Wires!$E$2:$E$1000,N158)))</f>
        <v/>
      </c>
      <c r="I158" s="11">
        <f>IF(N158="","",INDEX(Wires!$H$2:$H$1000,N158)&amp;"")</f>
        <v/>
      </c>
      <c r="J158" s="11">
        <f>IF(N158="","",IF(INDEX(Wires!$I$2:$I$1000,N158)="","",INDEX(Wires!$I$2:$I$1000,N158)))</f>
        <v/>
      </c>
      <c r="K158" s="11">
        <f>COUNTIF(Wires!$W$2:$W$1000,M158)+COUNTIF(Wires!$X$2:$X$1000,M158)</f>
        <v/>
      </c>
      <c r="L158" s="11">
        <f>IF(AND(K158=0,C158&lt;&gt;"",D158&lt;&gt;"NC"),"pino com sinal mas sem fio; ","")&amp;IF(AND(D158="NC",K158&gt;0),"pino NC com fio; ","")&amp;IF(AND(K158&gt;1,ISERROR(MATCH(IFERROR(INDEX(Connectors!$D$2:$D$1000,MATCH(A158,Connectors!$A$2:$A$1000,0)),""),{"SPLICE","STUD"},0))),"vários fios no mesmo pino; ","")</f>
        <v/>
      </c>
      <c r="M158" s="11">
        <f>A158&amp;":"&amp;B158&amp;IF(EXACT(B158,UPPER(B158)),"","|lc")</f>
        <v/>
      </c>
      <c r="N158" s="11">
        <f>IFERROR(MATCH(M158,Wires!$W$2:$W$1000,0),IFERROR(MATCH(M158,Wires!$X$2:$X$1000,0),""))</f>
        <v/>
      </c>
      <c r="O158" s="11">
        <f>IF(N158="","",IF(ISNUMBER(MATCH(M158,Wires!$W$2:$W$1000,0)),"from","to"))</f>
        <v/>
      </c>
    </row>
    <row r="159">
      <c r="A159" s="9" t="inlineStr">
        <is>
          <t>DATABOX J2</t>
        </is>
      </c>
      <c r="B159" s="9" t="inlineStr">
        <is>
          <t>T</t>
        </is>
      </c>
      <c r="C159" s="9" t="n"/>
      <c r="D159" s="9" t="n"/>
      <c r="E159" s="9" t="n"/>
      <c r="F159" s="11">
        <f>IF(N159="","",INDEX(Wires!$A$2:$A$1000,N159))</f>
        <v/>
      </c>
      <c r="G159" s="11">
        <f>IF(N159="","",INDEX(Wires!$C$2:$C$1000,N159))</f>
        <v/>
      </c>
      <c r="H159" s="11">
        <f>IF(N159="","",IF(O159="from",INDEX(Wires!$F$2:$F$1000,N159)&amp;":"&amp;INDEX(Wires!$G$2:$G$1000,N159),INDEX(Wires!$D$2:$D$1000,N159)&amp;":"&amp;INDEX(Wires!$E$2:$E$1000,N159)))</f>
        <v/>
      </c>
      <c r="I159" s="11">
        <f>IF(N159="","",INDEX(Wires!$H$2:$H$1000,N159)&amp;"")</f>
        <v/>
      </c>
      <c r="J159" s="11">
        <f>IF(N159="","",IF(INDEX(Wires!$I$2:$I$1000,N159)="","",INDEX(Wires!$I$2:$I$1000,N159)))</f>
        <v/>
      </c>
      <c r="K159" s="11">
        <f>COUNTIF(Wires!$W$2:$W$1000,M159)+COUNTIF(Wires!$X$2:$X$1000,M159)</f>
        <v/>
      </c>
      <c r="L159" s="11">
        <f>IF(AND(K159=0,C159&lt;&gt;"",D159&lt;&gt;"NC"),"pino com sinal mas sem fio; ","")&amp;IF(AND(D159="NC",K159&gt;0),"pino NC com fio; ","")&amp;IF(AND(K159&gt;1,ISERROR(MATCH(IFERROR(INDEX(Connectors!$D$2:$D$1000,MATCH(A159,Connectors!$A$2:$A$1000,0)),""),{"SPLICE","STUD"},0))),"vários fios no mesmo pino; ","")</f>
        <v/>
      </c>
      <c r="M159" s="11">
        <f>A159&amp;":"&amp;B159&amp;IF(EXACT(B159,UPPER(B159)),"","|lc")</f>
        <v/>
      </c>
      <c r="N159" s="11">
        <f>IFERROR(MATCH(M159,Wires!$W$2:$W$1000,0),IFERROR(MATCH(M159,Wires!$X$2:$X$1000,0),""))</f>
        <v/>
      </c>
      <c r="O159" s="11">
        <f>IF(N159="","",IF(ISNUMBER(MATCH(M159,Wires!$W$2:$W$1000,0)),"from","to"))</f>
        <v/>
      </c>
    </row>
    <row r="160">
      <c r="A160" s="9" t="inlineStr">
        <is>
          <t>DATABOX J2</t>
        </is>
      </c>
      <c r="B160" s="9" t="inlineStr">
        <is>
          <t>U</t>
        </is>
      </c>
      <c r="C160" s="9" t="n"/>
      <c r="D160" s="9" t="n"/>
      <c r="E160" s="9" t="n"/>
      <c r="F160" s="11">
        <f>IF(N160="","",INDEX(Wires!$A$2:$A$1000,N160))</f>
        <v/>
      </c>
      <c r="G160" s="11">
        <f>IF(N160="","",INDEX(Wires!$C$2:$C$1000,N160))</f>
        <v/>
      </c>
      <c r="H160" s="11">
        <f>IF(N160="","",IF(O160="from",INDEX(Wires!$F$2:$F$1000,N160)&amp;":"&amp;INDEX(Wires!$G$2:$G$1000,N160),INDEX(Wires!$D$2:$D$1000,N160)&amp;":"&amp;INDEX(Wires!$E$2:$E$1000,N160)))</f>
        <v/>
      </c>
      <c r="I160" s="11">
        <f>IF(N160="","",INDEX(Wires!$H$2:$H$1000,N160)&amp;"")</f>
        <v/>
      </c>
      <c r="J160" s="11">
        <f>IF(N160="","",IF(INDEX(Wires!$I$2:$I$1000,N160)="","",INDEX(Wires!$I$2:$I$1000,N160)))</f>
        <v/>
      </c>
      <c r="K160" s="11">
        <f>COUNTIF(Wires!$W$2:$W$1000,M160)+COUNTIF(Wires!$X$2:$X$1000,M160)</f>
        <v/>
      </c>
      <c r="L160" s="11">
        <f>IF(AND(K160=0,C160&lt;&gt;"",D160&lt;&gt;"NC"),"pino com sinal mas sem fio; ","")&amp;IF(AND(D160="NC",K160&gt;0),"pino NC com fio; ","")&amp;IF(AND(K160&gt;1,ISERROR(MATCH(IFERROR(INDEX(Connectors!$D$2:$D$1000,MATCH(A160,Connectors!$A$2:$A$1000,0)),""),{"SPLICE","STUD"},0))),"vários fios no mesmo pino; ","")</f>
        <v/>
      </c>
      <c r="M160" s="11">
        <f>A160&amp;":"&amp;B160&amp;IF(EXACT(B160,UPPER(B160)),"","|lc")</f>
        <v/>
      </c>
      <c r="N160" s="11">
        <f>IFERROR(MATCH(M160,Wires!$W$2:$W$1000,0),IFERROR(MATCH(M160,Wires!$X$2:$X$1000,0),""))</f>
        <v/>
      </c>
      <c r="O160" s="11">
        <f>IF(N160="","",IF(ISNUMBER(MATCH(M160,Wires!$W$2:$W$1000,0)),"from","to"))</f>
        <v/>
      </c>
    </row>
    <row r="161">
      <c r="A161" s="9" t="inlineStr">
        <is>
          <t>DATABOX J2</t>
        </is>
      </c>
      <c r="B161" s="9" t="inlineStr">
        <is>
          <t>V</t>
        </is>
      </c>
      <c r="C161" s="9" t="n"/>
      <c r="D161" s="9" t="n"/>
      <c r="E161" s="9" t="n"/>
      <c r="F161" s="11">
        <f>IF(N161="","",INDEX(Wires!$A$2:$A$1000,N161))</f>
        <v/>
      </c>
      <c r="G161" s="11">
        <f>IF(N161="","",INDEX(Wires!$C$2:$C$1000,N161))</f>
        <v/>
      </c>
      <c r="H161" s="11">
        <f>IF(N161="","",IF(O161="from",INDEX(Wires!$F$2:$F$1000,N161)&amp;":"&amp;INDEX(Wires!$G$2:$G$1000,N161),INDEX(Wires!$D$2:$D$1000,N161)&amp;":"&amp;INDEX(Wires!$E$2:$E$1000,N161)))</f>
        <v/>
      </c>
      <c r="I161" s="11">
        <f>IF(N161="","",INDEX(Wires!$H$2:$H$1000,N161)&amp;"")</f>
        <v/>
      </c>
      <c r="J161" s="11">
        <f>IF(N161="","",IF(INDEX(Wires!$I$2:$I$1000,N161)="","",INDEX(Wires!$I$2:$I$1000,N161)))</f>
        <v/>
      </c>
      <c r="K161" s="11">
        <f>COUNTIF(Wires!$W$2:$W$1000,M161)+COUNTIF(Wires!$X$2:$X$1000,M161)</f>
        <v/>
      </c>
      <c r="L161" s="11">
        <f>IF(AND(K161=0,C161&lt;&gt;"",D161&lt;&gt;"NC"),"pino com sinal mas sem fio; ","")&amp;IF(AND(D161="NC",K161&gt;0),"pino NC com fio; ","")&amp;IF(AND(K161&gt;1,ISERROR(MATCH(IFERROR(INDEX(Connectors!$D$2:$D$1000,MATCH(A161,Connectors!$A$2:$A$1000,0)),""),{"SPLICE","STUD"},0))),"vários fios no mesmo pino; ","")</f>
        <v/>
      </c>
      <c r="M161" s="11">
        <f>A161&amp;":"&amp;B161&amp;IF(EXACT(B161,UPPER(B161)),"","|lc")</f>
        <v/>
      </c>
      <c r="N161" s="11">
        <f>IFERROR(MATCH(M161,Wires!$W$2:$W$1000,0),IFERROR(MATCH(M161,Wires!$X$2:$X$1000,0),""))</f>
        <v/>
      </c>
      <c r="O161" s="11">
        <f>IF(N161="","",IF(ISNUMBER(MATCH(M161,Wires!$W$2:$W$1000,0)),"from","to"))</f>
        <v/>
      </c>
    </row>
    <row r="162">
      <c r="A162" s="9" t="inlineStr">
        <is>
          <t>DATABOX J2</t>
        </is>
      </c>
      <c r="B162" s="9" t="inlineStr">
        <is>
          <t>W</t>
        </is>
      </c>
      <c r="C162" s="9" t="n"/>
      <c r="D162" s="9" t="n"/>
      <c r="E162" s="9" t="n"/>
      <c r="F162" s="11">
        <f>IF(N162="","",INDEX(Wires!$A$2:$A$1000,N162))</f>
        <v/>
      </c>
      <c r="G162" s="11">
        <f>IF(N162="","",INDEX(Wires!$C$2:$C$1000,N162))</f>
        <v/>
      </c>
      <c r="H162" s="11">
        <f>IF(N162="","",IF(O162="from",INDEX(Wires!$F$2:$F$1000,N162)&amp;":"&amp;INDEX(Wires!$G$2:$G$1000,N162),INDEX(Wires!$D$2:$D$1000,N162)&amp;":"&amp;INDEX(Wires!$E$2:$E$1000,N162)))</f>
        <v/>
      </c>
      <c r="I162" s="11">
        <f>IF(N162="","",INDEX(Wires!$H$2:$H$1000,N162)&amp;"")</f>
        <v/>
      </c>
      <c r="J162" s="11">
        <f>IF(N162="","",IF(INDEX(Wires!$I$2:$I$1000,N162)="","",INDEX(Wires!$I$2:$I$1000,N162)))</f>
        <v/>
      </c>
      <c r="K162" s="11">
        <f>COUNTIF(Wires!$W$2:$W$1000,M162)+COUNTIF(Wires!$X$2:$X$1000,M162)</f>
        <v/>
      </c>
      <c r="L162" s="11">
        <f>IF(AND(K162=0,C162&lt;&gt;"",D162&lt;&gt;"NC"),"pino com sinal mas sem fio; ","")&amp;IF(AND(D162="NC",K162&gt;0),"pino NC com fio; ","")&amp;IF(AND(K162&gt;1,ISERROR(MATCH(IFERROR(INDEX(Connectors!$D$2:$D$1000,MATCH(A162,Connectors!$A$2:$A$1000,0)),""),{"SPLICE","STUD"},0))),"vários fios no mesmo pino; ","")</f>
        <v/>
      </c>
      <c r="M162" s="11">
        <f>A162&amp;":"&amp;B162&amp;IF(EXACT(B162,UPPER(B162)),"","|lc")</f>
        <v/>
      </c>
      <c r="N162" s="11">
        <f>IFERROR(MATCH(M162,Wires!$W$2:$W$1000,0),IFERROR(MATCH(M162,Wires!$X$2:$X$1000,0),""))</f>
        <v/>
      </c>
      <c r="O162" s="11">
        <f>IF(N162="","",IF(ISNUMBER(MATCH(M162,Wires!$W$2:$W$1000,0)),"from","to"))</f>
        <v/>
      </c>
    </row>
    <row r="163">
      <c r="A163" s="9" t="inlineStr">
        <is>
          <t>SPL RASPBERRY J6-2 - 5V</t>
        </is>
      </c>
      <c r="B163" s="9" t="inlineStr">
        <is>
          <t>S</t>
        </is>
      </c>
      <c r="C163" s="9" t="inlineStr">
        <is>
          <t>RASPBERRY J6-2 - 5V</t>
        </is>
      </c>
      <c r="D163" s="9" t="n"/>
      <c r="E163" s="9" t="n"/>
      <c r="F163" s="11">
        <f>IF(N163="","",INDEX(Wires!$A$2:$A$1000,N163))</f>
        <v/>
      </c>
      <c r="G163" s="11">
        <f>IF(N163="","",INDEX(Wires!$C$2:$C$1000,N163))</f>
        <v/>
      </c>
      <c r="H163" s="11">
        <f>IF(N163="","",IF(O163="from",INDEX(Wires!$F$2:$F$1000,N163)&amp;":"&amp;INDEX(Wires!$G$2:$G$1000,N163),INDEX(Wires!$D$2:$D$1000,N163)&amp;":"&amp;INDEX(Wires!$E$2:$E$1000,N163)))</f>
        <v/>
      </c>
      <c r="I163" s="11">
        <f>IF(N163="","",INDEX(Wires!$H$2:$H$1000,N163)&amp;"")</f>
        <v/>
      </c>
      <c r="J163" s="11">
        <f>IF(N163="","",IF(INDEX(Wires!$I$2:$I$1000,N163)="","",INDEX(Wires!$I$2:$I$1000,N163)))</f>
        <v/>
      </c>
      <c r="K163" s="11">
        <f>COUNTIF(Wires!$W$2:$W$1000,M163)+COUNTIF(Wires!$X$2:$X$1000,M163)</f>
        <v/>
      </c>
      <c r="L163" s="11">
        <f>IF(AND(K163=0,C163&lt;&gt;"",D163&lt;&gt;"NC"),"pino com sinal mas sem fio; ","")&amp;IF(AND(D163="NC",K163&gt;0),"pino NC com fio; ","")&amp;IF(AND(K163&gt;1,ISERROR(MATCH(IFERROR(INDEX(Connectors!$D$2:$D$1000,MATCH(A163,Connectors!$A$2:$A$1000,0)),""),{"SPLICE","STUD"},0))),"vários fios no mesmo pino; ","")</f>
        <v/>
      </c>
      <c r="M163" s="11">
        <f>A163&amp;":"&amp;B163&amp;IF(EXACT(B163,UPPER(B163)),"","|lc")</f>
        <v/>
      </c>
      <c r="N163" s="11">
        <f>IFERROR(MATCH(M163,Wires!$W$2:$W$1000,0),IFERROR(MATCH(M163,Wires!$X$2:$X$1000,0),""))</f>
        <v/>
      </c>
      <c r="O163" s="11">
        <f>IF(N163="","",IF(ISNUMBER(MATCH(M163,Wires!$W$2:$W$1000,0)),"from","to"))</f>
        <v/>
      </c>
    </row>
    <row r="164">
      <c r="A164" s="9" t="inlineStr">
        <is>
          <t>SPL EMERGENCY J1-1</t>
        </is>
      </c>
      <c r="B164" s="9" t="inlineStr">
        <is>
          <t>S</t>
        </is>
      </c>
      <c r="C164" s="9" t="inlineStr">
        <is>
          <t>EMERGENCY J1-1</t>
        </is>
      </c>
      <c r="D164" s="9" t="n"/>
      <c r="E164" s="9" t="n"/>
      <c r="F164" s="11">
        <f>IF(N164="","",INDEX(Wires!$A$2:$A$1000,N164))</f>
        <v/>
      </c>
      <c r="G164" s="11">
        <f>IF(N164="","",INDEX(Wires!$C$2:$C$1000,N164))</f>
        <v/>
      </c>
      <c r="H164" s="11">
        <f>IF(N164="","",IF(O164="from",INDEX(Wires!$F$2:$F$1000,N164)&amp;":"&amp;INDEX(Wires!$G$2:$G$1000,N164),INDEX(Wires!$D$2:$D$1000,N164)&amp;":"&amp;INDEX(Wires!$E$2:$E$1000,N164)))</f>
        <v/>
      </c>
      <c r="I164" s="11">
        <f>IF(N164="","",INDEX(Wires!$H$2:$H$1000,N164)&amp;"")</f>
        <v/>
      </c>
      <c r="J164" s="11">
        <f>IF(N164="","",IF(INDEX(Wires!$I$2:$I$1000,N164)="","",INDEX(Wires!$I$2:$I$1000,N164)))</f>
        <v/>
      </c>
      <c r="K164" s="11">
        <f>COUNTIF(Wires!$W$2:$W$1000,M164)+COUNTIF(Wires!$X$2:$X$1000,M164)</f>
        <v/>
      </c>
      <c r="L164" s="11">
        <f>IF(AND(K164=0,C164&lt;&gt;"",D164&lt;&gt;"NC"),"pino com sinal mas sem fio; ","")&amp;IF(AND(D164="NC",K164&gt;0),"pino NC com fio; ","")&amp;IF(AND(K164&gt;1,ISERROR(MATCH(IFERROR(INDEX(Connectors!$D$2:$D$1000,MATCH(A164,Connectors!$A$2:$A$1000,0)),""),{"SPLICE","STUD"},0))),"vários fios no mesmo pino; ","")</f>
        <v/>
      </c>
      <c r="M164" s="11">
        <f>A164&amp;":"&amp;B164&amp;IF(EXACT(B164,UPPER(B164)),"","|lc")</f>
        <v/>
      </c>
      <c r="N164" s="11">
        <f>IFERROR(MATCH(M164,Wires!$W$2:$W$1000,0),IFERROR(MATCH(M164,Wires!$X$2:$X$1000,0),""))</f>
        <v/>
      </c>
      <c r="O164" s="11">
        <f>IF(N164="","",IF(ISNUMBER(MATCH(M164,Wires!$W$2:$W$1000,0)),"from","to"))</f>
        <v/>
      </c>
    </row>
    <row r="165">
      <c r="A165" s="9" t="inlineStr">
        <is>
          <t>SPL EMERGENCY J1-2</t>
        </is>
      </c>
      <c r="B165" s="9" t="inlineStr">
        <is>
          <t>S</t>
        </is>
      </c>
      <c r="C165" s="9" t="inlineStr">
        <is>
          <t>EMERGENCY J1-2</t>
        </is>
      </c>
      <c r="D165" s="9" t="n"/>
      <c r="E165" s="9" t="n"/>
      <c r="F165" s="11">
        <f>IF(N165="","",INDEX(Wires!$A$2:$A$1000,N165))</f>
        <v/>
      </c>
      <c r="G165" s="11">
        <f>IF(N165="","",INDEX(Wires!$C$2:$C$1000,N165))</f>
        <v/>
      </c>
      <c r="H165" s="11">
        <f>IF(N165="","",IF(O165="from",INDEX(Wires!$F$2:$F$1000,N165)&amp;":"&amp;INDEX(Wires!$G$2:$G$1000,N165),INDEX(Wires!$D$2:$D$1000,N165)&amp;":"&amp;INDEX(Wires!$E$2:$E$1000,N165)))</f>
        <v/>
      </c>
      <c r="I165" s="11">
        <f>IF(N165="","",INDEX(Wires!$H$2:$H$1000,N165)&amp;"")</f>
        <v/>
      </c>
      <c r="J165" s="11">
        <f>IF(N165="","",IF(INDEX(Wires!$I$2:$I$1000,N165)="","",INDEX(Wires!$I$2:$I$1000,N165)))</f>
        <v/>
      </c>
      <c r="K165" s="11">
        <f>COUNTIF(Wires!$W$2:$W$1000,M165)+COUNTIF(Wires!$X$2:$X$1000,M165)</f>
        <v/>
      </c>
      <c r="L165" s="11">
        <f>IF(AND(K165=0,C165&lt;&gt;"",D165&lt;&gt;"NC"),"pino com sinal mas sem fio; ","")&amp;IF(AND(D165="NC",K165&gt;0),"pino NC com fio; ","")&amp;IF(AND(K165&gt;1,ISERROR(MATCH(IFERROR(INDEX(Connectors!$D$2:$D$1000,MATCH(A165,Connectors!$A$2:$A$1000,0)),""),{"SPLICE","STUD"},0))),"vários fios no mesmo pino; ","")</f>
        <v/>
      </c>
      <c r="M165" s="11">
        <f>A165&amp;":"&amp;B165&amp;IF(EXACT(B165,UPPER(B165)),"","|lc")</f>
        <v/>
      </c>
      <c r="N165" s="11">
        <f>IFERROR(MATCH(M165,Wires!$W$2:$W$1000,0),IFERROR(MATCH(M165,Wires!$X$2:$X$1000,0),""))</f>
        <v/>
      </c>
      <c r="O165" s="11">
        <f>IF(N165="","",IF(ISNUMBER(MATCH(M165,Wires!$W$2:$W$1000,0)),"from","to"))</f>
        <v/>
      </c>
    </row>
    <row r="166">
      <c r="A166" s="9" t="inlineStr">
        <is>
          <t>TS ON LED J1</t>
        </is>
      </c>
      <c r="B166" s="9" t="inlineStr">
        <is>
          <t>Aos LEDS</t>
        </is>
      </c>
      <c r="C166" s="9" t="n"/>
      <c r="D166" s="9" t="n"/>
      <c r="E166" s="9" t="n"/>
      <c r="F166" s="11">
        <f>IF(N166="","",INDEX(Wires!$A$2:$A$1000,N166))</f>
        <v/>
      </c>
      <c r="G166" s="11">
        <f>IF(N166="","",INDEX(Wires!$C$2:$C$1000,N166))</f>
        <v/>
      </c>
      <c r="H166" s="11">
        <f>IF(N166="","",IF(O166="from",INDEX(Wires!$F$2:$F$1000,N166)&amp;":"&amp;INDEX(Wires!$G$2:$G$1000,N166),INDEX(Wires!$D$2:$D$1000,N166)&amp;":"&amp;INDEX(Wires!$E$2:$E$1000,N166)))</f>
        <v/>
      </c>
      <c r="I166" s="11">
        <f>IF(N166="","",INDEX(Wires!$H$2:$H$1000,N166)&amp;"")</f>
        <v/>
      </c>
      <c r="J166" s="11">
        <f>IF(N166="","",IF(INDEX(Wires!$I$2:$I$1000,N166)="","",INDEX(Wires!$I$2:$I$1000,N166)))</f>
        <v/>
      </c>
      <c r="K166" s="11">
        <f>COUNTIF(Wires!$W$2:$W$1000,M166)+COUNTIF(Wires!$X$2:$X$1000,M166)</f>
        <v/>
      </c>
      <c r="L166" s="11">
        <f>IF(AND(K166=0,C166&lt;&gt;"",D166&lt;&gt;"NC"),"pino com sinal mas sem fio; ","")&amp;IF(AND(D166="NC",K166&gt;0),"pino NC com fio; ","")&amp;IF(AND(K166&gt;1,ISERROR(MATCH(IFERROR(INDEX(Connectors!$D$2:$D$1000,MATCH(A166,Connectors!$A$2:$A$1000,0)),""),{"SPLICE","STUD"},0))),"vários fios no mesmo pino; ","")</f>
        <v/>
      </c>
      <c r="M166" s="11">
        <f>A166&amp;":"&amp;B166&amp;IF(EXACT(B166,UPPER(B166)),"","|lc")</f>
        <v/>
      </c>
      <c r="N166" s="11">
        <f>IFERROR(MATCH(M166,Wires!$W$2:$W$1000,0),IFERROR(MATCH(M166,Wires!$X$2:$X$1000,0),""))</f>
        <v/>
      </c>
      <c r="O166" s="11">
        <f>IF(N166="","",IF(ISNUMBER(MATCH(M166,Wires!$W$2:$W$1000,0)),"from","to"))</f>
        <v/>
      </c>
    </row>
    <row r="167">
      <c r="A167" s="9" t="inlineStr">
        <is>
          <t>LCD</t>
        </is>
      </c>
      <c r="B167" s="9" t="inlineStr">
        <is>
          <t>LCD Power</t>
        </is>
      </c>
      <c r="C167" s="9" t="n"/>
      <c r="D167" s="9" t="n"/>
      <c r="E167" s="9" t="n"/>
      <c r="F167" s="11">
        <f>IF(N167="","",INDEX(Wires!$A$2:$A$1000,N167))</f>
        <v/>
      </c>
      <c r="G167" s="11">
        <f>IF(N167="","",INDEX(Wires!$C$2:$C$1000,N167))</f>
        <v/>
      </c>
      <c r="H167" s="11">
        <f>IF(N167="","",IF(O167="from",INDEX(Wires!$F$2:$F$1000,N167)&amp;":"&amp;INDEX(Wires!$G$2:$G$1000,N167),INDEX(Wires!$D$2:$D$1000,N167)&amp;":"&amp;INDEX(Wires!$E$2:$E$1000,N167)))</f>
        <v/>
      </c>
      <c r="I167" s="11">
        <f>IF(N167="","",INDEX(Wires!$H$2:$H$1000,N167)&amp;"")</f>
        <v/>
      </c>
      <c r="J167" s="11">
        <f>IF(N167="","",IF(INDEX(Wires!$I$2:$I$1000,N167)="","",INDEX(Wires!$I$2:$I$1000,N167)))</f>
        <v/>
      </c>
      <c r="K167" s="11">
        <f>COUNTIF(Wires!$W$2:$W$1000,M167)+COUNTIF(Wires!$X$2:$X$1000,M167)</f>
        <v/>
      </c>
      <c r="L167" s="11">
        <f>IF(AND(K167=0,C167&lt;&gt;"",D167&lt;&gt;"NC"),"pino com sinal mas sem fio; ","")&amp;IF(AND(D167="NC",K167&gt;0),"pino NC com fio; ","")&amp;IF(AND(K167&gt;1,ISERROR(MATCH(IFERROR(INDEX(Connectors!$D$2:$D$1000,MATCH(A167,Connectors!$A$2:$A$1000,0)),""),{"SPLICE","STUD"},0))),"vários fios no mesmo pino; ","")</f>
        <v/>
      </c>
      <c r="M167" s="11">
        <f>A167&amp;":"&amp;B167&amp;IF(EXACT(B167,UPPER(B167)),"","|lc")</f>
        <v/>
      </c>
      <c r="N167" s="11">
        <f>IFERROR(MATCH(M167,Wires!$W$2:$W$1000,0),IFERROR(MATCH(M167,Wires!$X$2:$X$1000,0),""))</f>
        <v/>
      </c>
      <c r="O167" s="11">
        <f>IF(N167="","",IF(ISNUMBER(MATCH(M167,Wires!$W$2:$W$1000,0)),"from","to"))</f>
        <v/>
      </c>
    </row>
    <row r="168">
      <c r="A168" s="9" t="inlineStr">
        <is>
          <t>LCD</t>
        </is>
      </c>
      <c r="B168" s="9" t="inlineStr">
        <is>
          <t>HDMI</t>
        </is>
      </c>
      <c r="C168" s="9" t="n"/>
      <c r="D168" s="9" t="n"/>
      <c r="E168" s="9" t="n"/>
      <c r="F168" s="11">
        <f>IF(N168="","",INDEX(Wires!$A$2:$A$1000,N168))</f>
        <v/>
      </c>
      <c r="G168" s="11">
        <f>IF(N168="","",INDEX(Wires!$C$2:$C$1000,N168))</f>
        <v/>
      </c>
      <c r="H168" s="11">
        <f>IF(N168="","",IF(O168="from",INDEX(Wires!$F$2:$F$1000,N168)&amp;":"&amp;INDEX(Wires!$G$2:$G$1000,N168),INDEX(Wires!$D$2:$D$1000,N168)&amp;":"&amp;INDEX(Wires!$E$2:$E$1000,N168)))</f>
        <v/>
      </c>
      <c r="I168" s="11">
        <f>IF(N168="","",INDEX(Wires!$H$2:$H$1000,N168)&amp;"")</f>
        <v/>
      </c>
      <c r="J168" s="11">
        <f>IF(N168="","",IF(INDEX(Wires!$I$2:$I$1000,N168)="","",INDEX(Wires!$I$2:$I$1000,N168)))</f>
        <v/>
      </c>
      <c r="K168" s="11">
        <f>COUNTIF(Wires!$W$2:$W$1000,M168)+COUNTIF(Wires!$X$2:$X$1000,M168)</f>
        <v/>
      </c>
      <c r="L168" s="11">
        <f>IF(AND(K168=0,C168&lt;&gt;"",D168&lt;&gt;"NC"),"pino com sinal mas sem fio; ","")&amp;IF(AND(D168="NC",K168&gt;0),"pino NC com fio; ","")&amp;IF(AND(K168&gt;1,ISERROR(MATCH(IFERROR(INDEX(Connectors!$D$2:$D$1000,MATCH(A168,Connectors!$A$2:$A$1000,0)),""),{"SPLICE","STUD"},0))),"vários fios no mesmo pino; ","")</f>
        <v/>
      </c>
      <c r="M168" s="11">
        <f>A168&amp;":"&amp;B168&amp;IF(EXACT(B168,UPPER(B168)),"","|lc")</f>
        <v/>
      </c>
      <c r="N168" s="11">
        <f>IFERROR(MATCH(M168,Wires!$W$2:$W$1000,0),IFERROR(MATCH(M168,Wires!$X$2:$X$1000,0),""))</f>
        <v/>
      </c>
      <c r="O168" s="11">
        <f>IF(N168="","",IF(ISNUMBER(MATCH(M168,Wires!$W$2:$W$1000,0)),"from","to"))</f>
        <v/>
      </c>
    </row>
    <row r="169">
      <c r="A169" s="9" t="inlineStr">
        <is>
          <t>RASPBERRY PI</t>
        </is>
      </c>
      <c r="B169" s="9" t="inlineStr">
        <is>
          <t>?1</t>
        </is>
      </c>
      <c r="C169" s="9" t="n"/>
      <c r="D169" s="9" t="n"/>
      <c r="E169" s="9" t="n"/>
      <c r="F169" s="11">
        <f>IF(N169="","",INDEX(Wires!$A$2:$A$1000,N169))</f>
        <v/>
      </c>
      <c r="G169" s="11">
        <f>IF(N169="","",INDEX(Wires!$C$2:$C$1000,N169))</f>
        <v/>
      </c>
      <c r="H169" s="11">
        <f>IF(N169="","",IF(O169="from",INDEX(Wires!$F$2:$F$1000,N169)&amp;":"&amp;INDEX(Wires!$G$2:$G$1000,N169),INDEX(Wires!$D$2:$D$1000,N169)&amp;":"&amp;INDEX(Wires!$E$2:$E$1000,N169)))</f>
        <v/>
      </c>
      <c r="I169" s="11">
        <f>IF(N169="","",INDEX(Wires!$H$2:$H$1000,N169)&amp;"")</f>
        <v/>
      </c>
      <c r="J169" s="11">
        <f>IF(N169="","",IF(INDEX(Wires!$I$2:$I$1000,N169)="","",INDEX(Wires!$I$2:$I$1000,N169)))</f>
        <v/>
      </c>
      <c r="K169" s="11">
        <f>COUNTIF(Wires!$W$2:$W$1000,M169)+COUNTIF(Wires!$X$2:$X$1000,M169)</f>
        <v/>
      </c>
      <c r="L169" s="11">
        <f>IF(AND(K169=0,C169&lt;&gt;"",D169&lt;&gt;"NC"),"pino com sinal mas sem fio; ","")&amp;IF(AND(D169="NC",K169&gt;0),"pino NC com fio; ","")&amp;IF(AND(K169&gt;1,ISERROR(MATCH(IFERROR(INDEX(Connectors!$D$2:$D$1000,MATCH(A169,Connectors!$A$2:$A$1000,0)),""),{"SPLICE","STUD"},0))),"vários fios no mesmo pino; ","")</f>
        <v/>
      </c>
      <c r="M169" s="11">
        <f>A169&amp;":"&amp;B169&amp;IF(EXACT(B169,UPPER(B169)),"","|lc")</f>
        <v/>
      </c>
      <c r="N169" s="11">
        <f>IFERROR(MATCH(M169,Wires!$W$2:$W$1000,0),IFERROR(MATCH(M169,Wires!$X$2:$X$1000,0),""))</f>
        <v/>
      </c>
      <c r="O169" s="11">
        <f>IF(N169="","",IF(ISNUMBER(MATCH(M169,Wires!$W$2:$W$1000,0)),"from","to"))</f>
        <v/>
      </c>
    </row>
    <row r="170">
      <c r="A170" s="9" t="inlineStr">
        <is>
          <t>RASPBERRY PI MICRO HDMI PORT</t>
        </is>
      </c>
      <c r="B170" s="9" t="inlineStr">
        <is>
          <t>?1</t>
        </is>
      </c>
      <c r="C170" s="9" t="n"/>
      <c r="D170" s="9" t="n"/>
      <c r="E170" s="9" t="n"/>
      <c r="F170" s="11">
        <f>IF(N170="","",INDEX(Wires!$A$2:$A$1000,N170))</f>
        <v/>
      </c>
      <c r="G170" s="11">
        <f>IF(N170="","",INDEX(Wires!$C$2:$C$1000,N170))</f>
        <v/>
      </c>
      <c r="H170" s="11">
        <f>IF(N170="","",IF(O170="from",INDEX(Wires!$F$2:$F$1000,N170)&amp;":"&amp;INDEX(Wires!$G$2:$G$1000,N170),INDEX(Wires!$D$2:$D$1000,N170)&amp;":"&amp;INDEX(Wires!$E$2:$E$1000,N170)))</f>
        <v/>
      </c>
      <c r="I170" s="11">
        <f>IF(N170="","",INDEX(Wires!$H$2:$H$1000,N170)&amp;"")</f>
        <v/>
      </c>
      <c r="J170" s="11">
        <f>IF(N170="","",IF(INDEX(Wires!$I$2:$I$1000,N170)="","",INDEX(Wires!$I$2:$I$1000,N170)))</f>
        <v/>
      </c>
      <c r="K170" s="11">
        <f>COUNTIF(Wires!$W$2:$W$1000,M170)+COUNTIF(Wires!$X$2:$X$1000,M170)</f>
        <v/>
      </c>
      <c r="L170" s="11">
        <f>IF(AND(K170=0,C170&lt;&gt;"",D170&lt;&gt;"NC"),"pino com sinal mas sem fio; ","")&amp;IF(AND(D170="NC",K170&gt;0),"pino NC com fio; ","")&amp;IF(AND(K170&gt;1,ISERROR(MATCH(IFERROR(INDEX(Connectors!$D$2:$D$1000,MATCH(A170,Connectors!$A$2:$A$1000,0)),""),{"SPLICE","STUD"},0))),"vários fios no mesmo pino; ","")</f>
        <v/>
      </c>
      <c r="M170" s="11">
        <f>A170&amp;":"&amp;B170&amp;IF(EXACT(B170,UPPER(B170)),"","|lc")</f>
        <v/>
      </c>
      <c r="N170" s="11">
        <f>IFERROR(MATCH(M170,Wires!$W$2:$W$1000,0),IFERROR(MATCH(M170,Wires!$X$2:$X$1000,0),""))</f>
        <v/>
      </c>
      <c r="O170" s="11">
        <f>IF(N170="","",IF(ISNUMBER(MATCH(M170,Wires!$W$2:$W$1000,0)),"from","to"))</f>
        <v/>
      </c>
    </row>
    <row r="171">
      <c r="A171" s="9" t="inlineStr">
        <is>
          <t>RASPBERRY J6</t>
        </is>
      </c>
      <c r="B171" s="9" t="inlineStr">
        <is>
          <t>2</t>
        </is>
      </c>
      <c r="C171" s="9" t="n"/>
      <c r="D171" s="9" t="n"/>
      <c r="E171" s="9" t="n"/>
      <c r="F171" s="11">
        <f>IF(N171="","",INDEX(Wires!$A$2:$A$1000,N171))</f>
        <v/>
      </c>
      <c r="G171" s="11">
        <f>IF(N171="","",INDEX(Wires!$C$2:$C$1000,N171))</f>
        <v/>
      </c>
      <c r="H171" s="11">
        <f>IF(N171="","",IF(O171="from",INDEX(Wires!$F$2:$F$1000,N171)&amp;":"&amp;INDEX(Wires!$G$2:$G$1000,N171),INDEX(Wires!$D$2:$D$1000,N171)&amp;":"&amp;INDEX(Wires!$E$2:$E$1000,N171)))</f>
        <v/>
      </c>
      <c r="I171" s="11">
        <f>IF(N171="","",INDEX(Wires!$H$2:$H$1000,N171)&amp;"")</f>
        <v/>
      </c>
      <c r="J171" s="11">
        <f>IF(N171="","",IF(INDEX(Wires!$I$2:$I$1000,N171)="","",INDEX(Wires!$I$2:$I$1000,N171)))</f>
        <v/>
      </c>
      <c r="K171" s="11">
        <f>COUNTIF(Wires!$W$2:$W$1000,M171)+COUNTIF(Wires!$X$2:$X$1000,M171)</f>
        <v/>
      </c>
      <c r="L171" s="11">
        <f>IF(AND(K171=0,C171&lt;&gt;"",D171&lt;&gt;"NC"),"pino com sinal mas sem fio; ","")&amp;IF(AND(D171="NC",K171&gt;0),"pino NC com fio; ","")&amp;IF(AND(K171&gt;1,ISERROR(MATCH(IFERROR(INDEX(Connectors!$D$2:$D$1000,MATCH(A171,Connectors!$A$2:$A$1000,0)),""),{"SPLICE","STUD"},0))),"vários fios no mesmo pino; ","")</f>
        <v/>
      </c>
      <c r="M171" s="11">
        <f>A171&amp;":"&amp;B171&amp;IF(EXACT(B171,UPPER(B171)),"","|lc")</f>
        <v/>
      </c>
      <c r="N171" s="11">
        <f>IFERROR(MATCH(M171,Wires!$W$2:$W$1000,0),IFERROR(MATCH(M171,Wires!$X$2:$X$1000,0),""))</f>
        <v/>
      </c>
      <c r="O171" s="11">
        <f>IF(N171="","",IF(ISNUMBER(MATCH(M171,Wires!$W$2:$W$1000,0)),"from","to"))</f>
        <v/>
      </c>
    </row>
    <row r="172">
      <c r="A172" s="9" t="inlineStr">
        <is>
          <t>RASPBERRY J6</t>
        </is>
      </c>
      <c r="B172" s="9" t="inlineStr">
        <is>
          <t>12</t>
        </is>
      </c>
      <c r="C172" s="9" t="n"/>
      <c r="D172" s="9" t="n"/>
      <c r="E172" s="9" t="n"/>
      <c r="F172" s="11">
        <f>IF(N172="","",INDEX(Wires!$A$2:$A$1000,N172))</f>
        <v/>
      </c>
      <c r="G172" s="11">
        <f>IF(N172="","",INDEX(Wires!$C$2:$C$1000,N172))</f>
        <v/>
      </c>
      <c r="H172" s="11">
        <f>IF(N172="","",IF(O172="from",INDEX(Wires!$F$2:$F$1000,N172)&amp;":"&amp;INDEX(Wires!$G$2:$G$1000,N172),INDEX(Wires!$D$2:$D$1000,N172)&amp;":"&amp;INDEX(Wires!$E$2:$E$1000,N172)))</f>
        <v/>
      </c>
      <c r="I172" s="11">
        <f>IF(N172="","",INDEX(Wires!$H$2:$H$1000,N172)&amp;"")</f>
        <v/>
      </c>
      <c r="J172" s="11">
        <f>IF(N172="","",IF(INDEX(Wires!$I$2:$I$1000,N172)="","",INDEX(Wires!$I$2:$I$1000,N172)))</f>
        <v/>
      </c>
      <c r="K172" s="11">
        <f>COUNTIF(Wires!$W$2:$W$1000,M172)+COUNTIF(Wires!$X$2:$X$1000,M172)</f>
        <v/>
      </c>
      <c r="L172" s="11">
        <f>IF(AND(K172=0,C172&lt;&gt;"",D172&lt;&gt;"NC"),"pino com sinal mas sem fio; ","")&amp;IF(AND(D172="NC",K172&gt;0),"pino NC com fio; ","")&amp;IF(AND(K172&gt;1,ISERROR(MATCH(IFERROR(INDEX(Connectors!$D$2:$D$1000,MATCH(A172,Connectors!$A$2:$A$1000,0)),""),{"SPLICE","STUD"},0))),"vários fios no mesmo pino; ","")</f>
        <v/>
      </c>
      <c r="M172" s="11">
        <f>A172&amp;":"&amp;B172&amp;IF(EXACT(B172,UPPER(B172)),"","|lc")</f>
        <v/>
      </c>
      <c r="N172" s="11">
        <f>IFERROR(MATCH(M172,Wires!$W$2:$W$1000,0),IFERROR(MATCH(M172,Wires!$X$2:$X$1000,0),""))</f>
        <v/>
      </c>
      <c r="O172" s="11">
        <f>IF(N172="","",IF(ISNUMBER(MATCH(M172,Wires!$W$2:$W$1000,0)),"from","to"))</f>
        <v/>
      </c>
    </row>
    <row r="173">
      <c r="A173" s="9" t="inlineStr">
        <is>
          <t>RASPBERRY J6</t>
        </is>
      </c>
      <c r="B173" s="9" t="inlineStr">
        <is>
          <t>20</t>
        </is>
      </c>
      <c r="C173" s="9" t="n"/>
      <c r="D173" s="9" t="n"/>
      <c r="E173" s="9" t="n"/>
      <c r="F173" s="11">
        <f>IF(N173="","",INDEX(Wires!$A$2:$A$1000,N173))</f>
        <v/>
      </c>
      <c r="G173" s="11">
        <f>IF(N173="","",INDEX(Wires!$C$2:$C$1000,N173))</f>
        <v/>
      </c>
      <c r="H173" s="11">
        <f>IF(N173="","",IF(O173="from",INDEX(Wires!$F$2:$F$1000,N173)&amp;":"&amp;INDEX(Wires!$G$2:$G$1000,N173),INDEX(Wires!$D$2:$D$1000,N173)&amp;":"&amp;INDEX(Wires!$E$2:$E$1000,N173)))</f>
        <v/>
      </c>
      <c r="I173" s="11">
        <f>IF(N173="","",INDEX(Wires!$H$2:$H$1000,N173)&amp;"")</f>
        <v/>
      </c>
      <c r="J173" s="11">
        <f>IF(N173="","",IF(INDEX(Wires!$I$2:$I$1000,N173)="","",INDEX(Wires!$I$2:$I$1000,N173)))</f>
        <v/>
      </c>
      <c r="K173" s="11">
        <f>COUNTIF(Wires!$W$2:$W$1000,M173)+COUNTIF(Wires!$X$2:$X$1000,M173)</f>
        <v/>
      </c>
      <c r="L173" s="11">
        <f>IF(AND(K173=0,C173&lt;&gt;"",D173&lt;&gt;"NC"),"pino com sinal mas sem fio; ","")&amp;IF(AND(D173="NC",K173&gt;0),"pino NC com fio; ","")&amp;IF(AND(K173&gt;1,ISERROR(MATCH(IFERROR(INDEX(Connectors!$D$2:$D$1000,MATCH(A173,Connectors!$A$2:$A$1000,0)),""),{"SPLICE","STUD"},0))),"vários fios no mesmo pino; ","")</f>
        <v/>
      </c>
      <c r="M173" s="11">
        <f>A173&amp;":"&amp;B173&amp;IF(EXACT(B173,UPPER(B173)),"","|lc")</f>
        <v/>
      </c>
      <c r="N173" s="11">
        <f>IFERROR(MATCH(M173,Wires!$W$2:$W$1000,0),IFERROR(MATCH(M173,Wires!$X$2:$X$1000,0),""))</f>
        <v/>
      </c>
      <c r="O173" s="11">
        <f>IF(N173="","",IF(ISNUMBER(MATCH(M173,Wires!$W$2:$W$1000,0)),"from","to"))</f>
        <v/>
      </c>
    </row>
    <row r="174">
      <c r="A174" s="9" t="inlineStr">
        <is>
          <t>RASPBERRY J6</t>
        </is>
      </c>
      <c r="B174" s="9" t="inlineStr">
        <is>
          <t>16</t>
        </is>
      </c>
      <c r="C174" s="9" t="n"/>
      <c r="D174" s="9" t="n"/>
      <c r="E174" s="9" t="n"/>
      <c r="F174" s="11">
        <f>IF(N174="","",INDEX(Wires!$A$2:$A$1000,N174))</f>
        <v/>
      </c>
      <c r="G174" s="11">
        <f>IF(N174="","",INDEX(Wires!$C$2:$C$1000,N174))</f>
        <v/>
      </c>
      <c r="H174" s="11">
        <f>IF(N174="","",IF(O174="from",INDEX(Wires!$F$2:$F$1000,N174)&amp;":"&amp;INDEX(Wires!$G$2:$G$1000,N174),INDEX(Wires!$D$2:$D$1000,N174)&amp;":"&amp;INDEX(Wires!$E$2:$E$1000,N174)))</f>
        <v/>
      </c>
      <c r="I174" s="11">
        <f>IF(N174="","",INDEX(Wires!$H$2:$H$1000,N174)&amp;"")</f>
        <v/>
      </c>
      <c r="J174" s="11">
        <f>IF(N174="","",IF(INDEX(Wires!$I$2:$I$1000,N174)="","",INDEX(Wires!$I$2:$I$1000,N174)))</f>
        <v/>
      </c>
      <c r="K174" s="11">
        <f>COUNTIF(Wires!$W$2:$W$1000,M174)+COUNTIF(Wires!$X$2:$X$1000,M174)</f>
        <v/>
      </c>
      <c r="L174" s="11">
        <f>IF(AND(K174=0,C174&lt;&gt;"",D174&lt;&gt;"NC"),"pino com sinal mas sem fio; ","")&amp;IF(AND(D174="NC",K174&gt;0),"pino NC com fio; ","")&amp;IF(AND(K174&gt;1,ISERROR(MATCH(IFERROR(INDEX(Connectors!$D$2:$D$1000,MATCH(A174,Connectors!$A$2:$A$1000,0)),""),{"SPLICE","STUD"},0))),"vários fios no mesmo pino; ","")</f>
        <v/>
      </c>
      <c r="M174" s="11">
        <f>A174&amp;":"&amp;B174&amp;IF(EXACT(B174,UPPER(B174)),"","|lc")</f>
        <v/>
      </c>
      <c r="N174" s="11">
        <f>IFERROR(MATCH(M174,Wires!$W$2:$W$1000,0),IFERROR(MATCH(M174,Wires!$X$2:$X$1000,0),""))</f>
        <v/>
      </c>
      <c r="O174" s="11">
        <f>IF(N174="","",IF(ISNUMBER(MATCH(M174,Wires!$W$2:$W$1000,0)),"from","to"))</f>
        <v/>
      </c>
    </row>
    <row r="175">
      <c r="A175" s="9" t="inlineStr">
        <is>
          <t>RASPBERRY J6</t>
        </is>
      </c>
      <c r="B175" s="9" t="inlineStr">
        <is>
          <t>29</t>
        </is>
      </c>
      <c r="C175" s="9" t="n"/>
      <c r="D175" s="9" t="n"/>
      <c r="E175" s="9" t="n"/>
      <c r="F175" s="11">
        <f>IF(N175="","",INDEX(Wires!$A$2:$A$1000,N175))</f>
        <v/>
      </c>
      <c r="G175" s="11">
        <f>IF(N175="","",INDEX(Wires!$C$2:$C$1000,N175))</f>
        <v/>
      </c>
      <c r="H175" s="11">
        <f>IF(N175="","",IF(O175="from",INDEX(Wires!$F$2:$F$1000,N175)&amp;":"&amp;INDEX(Wires!$G$2:$G$1000,N175),INDEX(Wires!$D$2:$D$1000,N175)&amp;":"&amp;INDEX(Wires!$E$2:$E$1000,N175)))</f>
        <v/>
      </c>
      <c r="I175" s="11">
        <f>IF(N175="","",INDEX(Wires!$H$2:$H$1000,N175)&amp;"")</f>
        <v/>
      </c>
      <c r="J175" s="11">
        <f>IF(N175="","",IF(INDEX(Wires!$I$2:$I$1000,N175)="","",INDEX(Wires!$I$2:$I$1000,N175)))</f>
        <v/>
      </c>
      <c r="K175" s="11">
        <f>COUNTIF(Wires!$W$2:$W$1000,M175)+COUNTIF(Wires!$X$2:$X$1000,M175)</f>
        <v/>
      </c>
      <c r="L175" s="11">
        <f>IF(AND(K175=0,C175&lt;&gt;"",D175&lt;&gt;"NC"),"pino com sinal mas sem fio; ","")&amp;IF(AND(D175="NC",K175&gt;0),"pino NC com fio; ","")&amp;IF(AND(K175&gt;1,ISERROR(MATCH(IFERROR(INDEX(Connectors!$D$2:$D$1000,MATCH(A175,Connectors!$A$2:$A$1000,0)),""),{"SPLICE","STUD"},0))),"vários fios no mesmo pino; ","")</f>
        <v/>
      </c>
      <c r="M175" s="11">
        <f>A175&amp;":"&amp;B175&amp;IF(EXACT(B175,UPPER(B175)),"","|lc")</f>
        <v/>
      </c>
      <c r="N175" s="11">
        <f>IFERROR(MATCH(M175,Wires!$W$2:$W$1000,0),IFERROR(MATCH(M175,Wires!$X$2:$X$1000,0),""))</f>
        <v/>
      </c>
      <c r="O175" s="11">
        <f>IF(N175="","",IF(ISNUMBER(MATCH(M175,Wires!$W$2:$W$1000,0)),"from","to"))</f>
        <v/>
      </c>
    </row>
    <row r="176">
      <c r="A176" s="9" t="inlineStr">
        <is>
          <t>RASPBERRY J6</t>
        </is>
      </c>
      <c r="B176" s="9" t="inlineStr">
        <is>
          <t>6</t>
        </is>
      </c>
      <c r="C176" s="9" t="n"/>
      <c r="D176" s="9" t="n"/>
      <c r="E176" s="9" t="n"/>
      <c r="F176" s="11">
        <f>IF(N176="","",INDEX(Wires!$A$2:$A$1000,N176))</f>
        <v/>
      </c>
      <c r="G176" s="11">
        <f>IF(N176="","",INDEX(Wires!$C$2:$C$1000,N176))</f>
        <v/>
      </c>
      <c r="H176" s="11">
        <f>IF(N176="","",IF(O176="from",INDEX(Wires!$F$2:$F$1000,N176)&amp;":"&amp;INDEX(Wires!$G$2:$G$1000,N176),INDEX(Wires!$D$2:$D$1000,N176)&amp;":"&amp;INDEX(Wires!$E$2:$E$1000,N176)))</f>
        <v/>
      </c>
      <c r="I176" s="11">
        <f>IF(N176="","",INDEX(Wires!$H$2:$H$1000,N176)&amp;"")</f>
        <v/>
      </c>
      <c r="J176" s="11">
        <f>IF(N176="","",IF(INDEX(Wires!$I$2:$I$1000,N176)="","",INDEX(Wires!$I$2:$I$1000,N176)))</f>
        <v/>
      </c>
      <c r="K176" s="11">
        <f>COUNTIF(Wires!$W$2:$W$1000,M176)+COUNTIF(Wires!$X$2:$X$1000,M176)</f>
        <v/>
      </c>
      <c r="L176" s="11">
        <f>IF(AND(K176=0,C176&lt;&gt;"",D176&lt;&gt;"NC"),"pino com sinal mas sem fio; ","")&amp;IF(AND(D176="NC",K176&gt;0),"pino NC com fio; ","")&amp;IF(AND(K176&gt;1,ISERROR(MATCH(IFERROR(INDEX(Connectors!$D$2:$D$1000,MATCH(A176,Connectors!$A$2:$A$1000,0)),""),{"SPLICE","STUD"},0))),"vários fios no mesmo pino; ","")</f>
        <v/>
      </c>
      <c r="M176" s="11">
        <f>A176&amp;":"&amp;B176&amp;IF(EXACT(B176,UPPER(B176)),"","|lc")</f>
        <v/>
      </c>
      <c r="N176" s="11">
        <f>IFERROR(MATCH(M176,Wires!$W$2:$W$1000,0),IFERROR(MATCH(M176,Wires!$X$2:$X$1000,0),""))</f>
        <v/>
      </c>
      <c r="O176" s="11">
        <f>IF(N176="","",IF(ISNUMBER(MATCH(M176,Wires!$W$2:$W$1000,0)),"from","to"))</f>
        <v/>
      </c>
    </row>
    <row r="177">
      <c r="A177" s="9" t="inlineStr">
        <is>
          <t>RASPBERRY J6</t>
        </is>
      </c>
      <c r="B177" s="9" t="inlineStr">
        <is>
          <t>4</t>
        </is>
      </c>
      <c r="C177" s="9" t="n"/>
      <c r="D177" s="9" t="n"/>
      <c r="E177" s="9" t="n"/>
      <c r="F177" s="11">
        <f>IF(N177="","",INDEX(Wires!$A$2:$A$1000,N177))</f>
        <v/>
      </c>
      <c r="G177" s="11">
        <f>IF(N177="","",INDEX(Wires!$C$2:$C$1000,N177))</f>
        <v/>
      </c>
      <c r="H177" s="11">
        <f>IF(N177="","",IF(O177="from",INDEX(Wires!$F$2:$F$1000,N177)&amp;":"&amp;INDEX(Wires!$G$2:$G$1000,N177),INDEX(Wires!$D$2:$D$1000,N177)&amp;":"&amp;INDEX(Wires!$E$2:$E$1000,N177)))</f>
        <v/>
      </c>
      <c r="I177" s="11">
        <f>IF(N177="","",INDEX(Wires!$H$2:$H$1000,N177)&amp;"")</f>
        <v/>
      </c>
      <c r="J177" s="11">
        <f>IF(N177="","",IF(INDEX(Wires!$I$2:$I$1000,N177)="","",INDEX(Wires!$I$2:$I$1000,N177)))</f>
        <v/>
      </c>
      <c r="K177" s="11">
        <f>COUNTIF(Wires!$W$2:$W$1000,M177)+COUNTIF(Wires!$X$2:$X$1000,M177)</f>
        <v/>
      </c>
      <c r="L177" s="11">
        <f>IF(AND(K177=0,C177&lt;&gt;"",D177&lt;&gt;"NC"),"pino com sinal mas sem fio; ","")&amp;IF(AND(D177="NC",K177&gt;0),"pino NC com fio; ","")&amp;IF(AND(K177&gt;1,ISERROR(MATCH(IFERROR(INDEX(Connectors!$D$2:$D$1000,MATCH(A177,Connectors!$A$2:$A$1000,0)),""),{"SPLICE","STUD"},0))),"vários fios no mesmo pino; ","")</f>
        <v/>
      </c>
      <c r="M177" s="11">
        <f>A177&amp;":"&amp;B177&amp;IF(EXACT(B177,UPPER(B177)),"","|lc")</f>
        <v/>
      </c>
      <c r="N177" s="11">
        <f>IFERROR(MATCH(M177,Wires!$W$2:$W$1000,0),IFERROR(MATCH(M177,Wires!$X$2:$X$1000,0),""))</f>
        <v/>
      </c>
      <c r="O177" s="11">
        <f>IF(N177="","",IF(ISNUMBER(MATCH(M177,Wires!$W$2:$W$1000,0)),"from","to"))</f>
        <v/>
      </c>
    </row>
    <row r="178">
      <c r="A178" s="9" t="inlineStr">
        <is>
          <t>RASPBERRY J6</t>
        </is>
      </c>
      <c r="B178" s="9" t="inlineStr">
        <is>
          <t>22</t>
        </is>
      </c>
      <c r="C178" s="9" t="n"/>
      <c r="D178" s="9" t="n"/>
      <c r="E178" s="9" t="n"/>
      <c r="F178" s="11">
        <f>IF(N178="","",INDEX(Wires!$A$2:$A$1000,N178))</f>
        <v/>
      </c>
      <c r="G178" s="11">
        <f>IF(N178="","",INDEX(Wires!$C$2:$C$1000,N178))</f>
        <v/>
      </c>
      <c r="H178" s="11">
        <f>IF(N178="","",IF(O178="from",INDEX(Wires!$F$2:$F$1000,N178)&amp;":"&amp;INDEX(Wires!$G$2:$G$1000,N178),INDEX(Wires!$D$2:$D$1000,N178)&amp;":"&amp;INDEX(Wires!$E$2:$E$1000,N178)))</f>
        <v/>
      </c>
      <c r="I178" s="11">
        <f>IF(N178="","",INDEX(Wires!$H$2:$H$1000,N178)&amp;"")</f>
        <v/>
      </c>
      <c r="J178" s="11">
        <f>IF(N178="","",IF(INDEX(Wires!$I$2:$I$1000,N178)="","",INDEX(Wires!$I$2:$I$1000,N178)))</f>
        <v/>
      </c>
      <c r="K178" s="11">
        <f>COUNTIF(Wires!$W$2:$W$1000,M178)+COUNTIF(Wires!$X$2:$X$1000,M178)</f>
        <v/>
      </c>
      <c r="L178" s="11">
        <f>IF(AND(K178=0,C178&lt;&gt;"",D178&lt;&gt;"NC"),"pino com sinal mas sem fio; ","")&amp;IF(AND(D178="NC",K178&gt;0),"pino NC com fio; ","")&amp;IF(AND(K178&gt;1,ISERROR(MATCH(IFERROR(INDEX(Connectors!$D$2:$D$1000,MATCH(A178,Connectors!$A$2:$A$1000,0)),""),{"SPLICE","STUD"},0))),"vários fios no mesmo pino; ","")</f>
        <v/>
      </c>
      <c r="M178" s="11">
        <f>A178&amp;":"&amp;B178&amp;IF(EXACT(B178,UPPER(B178)),"","|lc")</f>
        <v/>
      </c>
      <c r="N178" s="11">
        <f>IFERROR(MATCH(M178,Wires!$W$2:$W$1000,0),IFERROR(MATCH(M178,Wires!$X$2:$X$1000,0),""))</f>
        <v/>
      </c>
      <c r="O178" s="11">
        <f>IF(N178="","",IF(ISNUMBER(MATCH(M178,Wires!$W$2:$W$1000,0)),"from","to"))</f>
        <v/>
      </c>
    </row>
    <row r="179">
      <c r="A179" s="9" t="inlineStr">
        <is>
          <t>RASPBERRY J6</t>
        </is>
      </c>
      <c r="B179" s="9" t="inlineStr">
        <is>
          <t>18</t>
        </is>
      </c>
      <c r="C179" s="9" t="n"/>
      <c r="D179" s="9" t="n"/>
      <c r="E179" s="9" t="n"/>
      <c r="F179" s="11">
        <f>IF(N179="","",INDEX(Wires!$A$2:$A$1000,N179))</f>
        <v/>
      </c>
      <c r="G179" s="11">
        <f>IF(N179="","",INDEX(Wires!$C$2:$C$1000,N179))</f>
        <v/>
      </c>
      <c r="H179" s="11">
        <f>IF(N179="","",IF(O179="from",INDEX(Wires!$F$2:$F$1000,N179)&amp;":"&amp;INDEX(Wires!$G$2:$G$1000,N179),INDEX(Wires!$D$2:$D$1000,N179)&amp;":"&amp;INDEX(Wires!$E$2:$E$1000,N179)))</f>
        <v/>
      </c>
      <c r="I179" s="11">
        <f>IF(N179="","",INDEX(Wires!$H$2:$H$1000,N179)&amp;"")</f>
        <v/>
      </c>
      <c r="J179" s="11">
        <f>IF(N179="","",IF(INDEX(Wires!$I$2:$I$1000,N179)="","",INDEX(Wires!$I$2:$I$1000,N179)))</f>
        <v/>
      </c>
      <c r="K179" s="11">
        <f>COUNTIF(Wires!$W$2:$W$1000,M179)+COUNTIF(Wires!$X$2:$X$1000,M179)</f>
        <v/>
      </c>
      <c r="L179" s="11">
        <f>IF(AND(K179=0,C179&lt;&gt;"",D179&lt;&gt;"NC"),"pino com sinal mas sem fio; ","")&amp;IF(AND(D179="NC",K179&gt;0),"pino NC com fio; ","")&amp;IF(AND(K179&gt;1,ISERROR(MATCH(IFERROR(INDEX(Connectors!$D$2:$D$1000,MATCH(A179,Connectors!$A$2:$A$1000,0)),""),{"SPLICE","STUD"},0))),"vários fios no mesmo pino; ","")</f>
        <v/>
      </c>
      <c r="M179" s="11">
        <f>A179&amp;":"&amp;B179&amp;IF(EXACT(B179,UPPER(B179)),"","|lc")</f>
        <v/>
      </c>
      <c r="N179" s="11">
        <f>IFERROR(MATCH(M179,Wires!$W$2:$W$1000,0),IFERROR(MATCH(M179,Wires!$X$2:$X$1000,0),""))</f>
        <v/>
      </c>
      <c r="O179" s="11">
        <f>IF(N179="","",IF(ISNUMBER(MATCH(M179,Wires!$W$2:$W$1000,0)),"from","to"))</f>
        <v/>
      </c>
    </row>
    <row r="180">
      <c r="A180" s="9" t="inlineStr">
        <is>
          <t>RASPBERRY J6</t>
        </is>
      </c>
      <c r="B180" s="9" t="inlineStr">
        <is>
          <t>9</t>
        </is>
      </c>
      <c r="C180" s="9" t="n"/>
      <c r="D180" s="9" t="n"/>
      <c r="E180" s="9" t="n"/>
      <c r="F180" s="11">
        <f>IF(N180="","",INDEX(Wires!$A$2:$A$1000,N180))</f>
        <v/>
      </c>
      <c r="G180" s="11">
        <f>IF(N180="","",INDEX(Wires!$C$2:$C$1000,N180))</f>
        <v/>
      </c>
      <c r="H180" s="11">
        <f>IF(N180="","",IF(O180="from",INDEX(Wires!$F$2:$F$1000,N180)&amp;":"&amp;INDEX(Wires!$G$2:$G$1000,N180),INDEX(Wires!$D$2:$D$1000,N180)&amp;":"&amp;INDEX(Wires!$E$2:$E$1000,N180)))</f>
        <v/>
      </c>
      <c r="I180" s="11">
        <f>IF(N180="","",INDEX(Wires!$H$2:$H$1000,N180)&amp;"")</f>
        <v/>
      </c>
      <c r="J180" s="11">
        <f>IF(N180="","",IF(INDEX(Wires!$I$2:$I$1000,N180)="","",INDEX(Wires!$I$2:$I$1000,N180)))</f>
        <v/>
      </c>
      <c r="K180" s="11">
        <f>COUNTIF(Wires!$W$2:$W$1000,M180)+COUNTIF(Wires!$X$2:$X$1000,M180)</f>
        <v/>
      </c>
      <c r="L180" s="11">
        <f>IF(AND(K180=0,C180&lt;&gt;"",D180&lt;&gt;"NC"),"pino com sinal mas sem fio; ","")&amp;IF(AND(D180="NC",K180&gt;0),"pino NC com fio; ","")&amp;IF(AND(K180&gt;1,ISERROR(MATCH(IFERROR(INDEX(Connectors!$D$2:$D$1000,MATCH(A180,Connectors!$A$2:$A$1000,0)),""),{"SPLICE","STUD"},0))),"vários fios no mesmo pino; ","")</f>
        <v/>
      </c>
      <c r="M180" s="11">
        <f>A180&amp;":"&amp;B180&amp;IF(EXACT(B180,UPPER(B180)),"","|lc")</f>
        <v/>
      </c>
      <c r="N180" s="11">
        <f>IFERROR(MATCH(M180,Wires!$W$2:$W$1000,0),IFERROR(MATCH(M180,Wires!$X$2:$X$1000,0),""))</f>
        <v/>
      </c>
      <c r="O180" s="11">
        <f>IF(N180="","",IF(ISNUMBER(MATCH(M180,Wires!$W$2:$W$1000,0)),"from","to"))</f>
        <v/>
      </c>
    </row>
    <row r="181">
      <c r="A181" s="9" t="inlineStr">
        <is>
          <t>RASPBERRY J6</t>
        </is>
      </c>
      <c r="B181" s="9" t="inlineStr">
        <is>
          <t>17</t>
        </is>
      </c>
      <c r="C181" s="9" t="n"/>
      <c r="D181" s="9" t="n"/>
      <c r="E181" s="9" t="n"/>
      <c r="F181" s="11">
        <f>IF(N181="","",INDEX(Wires!$A$2:$A$1000,N181))</f>
        <v/>
      </c>
      <c r="G181" s="11">
        <f>IF(N181="","",INDEX(Wires!$C$2:$C$1000,N181))</f>
        <v/>
      </c>
      <c r="H181" s="11">
        <f>IF(N181="","",IF(O181="from",INDEX(Wires!$F$2:$F$1000,N181)&amp;":"&amp;INDEX(Wires!$G$2:$G$1000,N181),INDEX(Wires!$D$2:$D$1000,N181)&amp;":"&amp;INDEX(Wires!$E$2:$E$1000,N181)))</f>
        <v/>
      </c>
      <c r="I181" s="11">
        <f>IF(N181="","",INDEX(Wires!$H$2:$H$1000,N181)&amp;"")</f>
        <v/>
      </c>
      <c r="J181" s="11">
        <f>IF(N181="","",IF(INDEX(Wires!$I$2:$I$1000,N181)="","",INDEX(Wires!$I$2:$I$1000,N181)))</f>
        <v/>
      </c>
      <c r="K181" s="11">
        <f>COUNTIF(Wires!$W$2:$W$1000,M181)+COUNTIF(Wires!$X$2:$X$1000,M181)</f>
        <v/>
      </c>
      <c r="L181" s="11">
        <f>IF(AND(K181=0,C181&lt;&gt;"",D181&lt;&gt;"NC"),"pino com sinal mas sem fio; ","")&amp;IF(AND(D181="NC",K181&gt;0),"pino NC com fio; ","")&amp;IF(AND(K181&gt;1,ISERROR(MATCH(IFERROR(INDEX(Connectors!$D$2:$D$1000,MATCH(A181,Connectors!$A$2:$A$1000,0)),""),{"SPLICE","STUD"},0))),"vários fios no mesmo pino; ","")</f>
        <v/>
      </c>
      <c r="M181" s="11">
        <f>A181&amp;":"&amp;B181&amp;IF(EXACT(B181,UPPER(B181)),"","|lc")</f>
        <v/>
      </c>
      <c r="N181" s="11">
        <f>IFERROR(MATCH(M181,Wires!$W$2:$W$1000,0),IFERROR(MATCH(M181,Wires!$X$2:$X$1000,0),""))</f>
        <v/>
      </c>
      <c r="O181" s="11">
        <f>IF(N181="","",IF(ISNUMBER(MATCH(M181,Wires!$W$2:$W$1000,0)),"from","to"))</f>
        <v/>
      </c>
    </row>
    <row r="182">
      <c r="A182" s="9" t="inlineStr">
        <is>
          <t>RASPBERRY J6</t>
        </is>
      </c>
      <c r="B182" s="9" t="inlineStr">
        <is>
          <t>11</t>
        </is>
      </c>
      <c r="C182" s="9" t="n"/>
      <c r="D182" s="9" t="n"/>
      <c r="E182" s="9" t="n"/>
      <c r="F182" s="11">
        <f>IF(N182="","",INDEX(Wires!$A$2:$A$1000,N182))</f>
        <v/>
      </c>
      <c r="G182" s="11">
        <f>IF(N182="","",INDEX(Wires!$C$2:$C$1000,N182))</f>
        <v/>
      </c>
      <c r="H182" s="11">
        <f>IF(N182="","",IF(O182="from",INDEX(Wires!$F$2:$F$1000,N182)&amp;":"&amp;INDEX(Wires!$G$2:$G$1000,N182),INDEX(Wires!$D$2:$D$1000,N182)&amp;":"&amp;INDEX(Wires!$E$2:$E$1000,N182)))</f>
        <v/>
      </c>
      <c r="I182" s="11">
        <f>IF(N182="","",INDEX(Wires!$H$2:$H$1000,N182)&amp;"")</f>
        <v/>
      </c>
      <c r="J182" s="11">
        <f>IF(N182="","",IF(INDEX(Wires!$I$2:$I$1000,N182)="","",INDEX(Wires!$I$2:$I$1000,N182)))</f>
        <v/>
      </c>
      <c r="K182" s="11">
        <f>COUNTIF(Wires!$W$2:$W$1000,M182)+COUNTIF(Wires!$X$2:$X$1000,M182)</f>
        <v/>
      </c>
      <c r="L182" s="11">
        <f>IF(AND(K182=0,C182&lt;&gt;"",D182&lt;&gt;"NC"),"pino com sinal mas sem fio; ","")&amp;IF(AND(D182="NC",K182&gt;0),"pino NC com fio; ","")&amp;IF(AND(K182&gt;1,ISERROR(MATCH(IFERROR(INDEX(Connectors!$D$2:$D$1000,MATCH(A182,Connectors!$A$2:$A$1000,0)),""),{"SPLICE","STUD"},0))),"vários fios no mesmo pino; ","")</f>
        <v/>
      </c>
      <c r="M182" s="11">
        <f>A182&amp;":"&amp;B182&amp;IF(EXACT(B182,UPPER(B182)),"","|lc")</f>
        <v/>
      </c>
      <c r="N182" s="11">
        <f>IFERROR(MATCH(M182,Wires!$W$2:$W$1000,0),IFERROR(MATCH(M182,Wires!$X$2:$X$1000,0),""))</f>
        <v/>
      </c>
      <c r="O182" s="11">
        <f>IF(N182="","",IF(ISNUMBER(MATCH(M182,Wires!$W$2:$W$1000,0)),"from","to"))</f>
        <v/>
      </c>
    </row>
  </sheetData>
  <autoFilter ref="A1:O182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  <row r="2">
      <c r="A2" s="13" t="inlineStr">
        <is>
          <t>1-794617-0</t>
        </is>
      </c>
      <c r="B2" s="9" t="inlineStr">
        <is>
          <t>TE Micro MATE-N-LOK</t>
        </is>
      </c>
      <c r="C2" s="9" t="inlineStr">
        <is>
          <t>ficha</t>
        </is>
      </c>
      <c r="D2" s="9" t="inlineStr">
        <is>
          <t>10 vias · Acquisition, BSPD, Latch (10 vias)</t>
        </is>
      </c>
      <c r="E2" s="9" t="n"/>
      <c r="F2" s="9" t="inlineStr">
        <is>
          <t>Notion · LART Central / Electronics / Inventory Management / BOM Management / Connectors Harness (2026-10-22)</t>
        </is>
      </c>
      <c r="G2" s="9" t="inlineStr">
        <is>
          <t>N</t>
        </is>
      </c>
      <c r="H2" s="10" t="n"/>
    </row>
    <row r="3">
      <c r="A3" s="13" t="inlineStr">
        <is>
          <t>1-794617-2</t>
        </is>
      </c>
      <c r="B3" s="9" t="inlineStr">
        <is>
          <t>TE Micro MATE-N-LOK</t>
        </is>
      </c>
      <c r="C3" s="9" t="inlineStr">
        <is>
          <t>ficha</t>
        </is>
      </c>
      <c r="D3" s="9" t="inlineStr">
        <is>
          <t>12 vias · Acquisition, TSAL Green (12 vias)</t>
        </is>
      </c>
      <c r="E3" s="9" t="n"/>
      <c r="F3" s="9" t="inlineStr">
        <is>
          <t>Notion · LART Central / Electronics / Inventory Management / BOM Management / Connectors Harness (2026-10-22)</t>
        </is>
      </c>
      <c r="G3" s="9" t="inlineStr">
        <is>
          <t>N</t>
        </is>
      </c>
      <c r="H3" s="10" t="n"/>
    </row>
    <row r="4">
      <c r="A4" s="13" t="inlineStr">
        <is>
          <t>794611-1</t>
        </is>
      </c>
      <c r="B4" s="9" t="inlineStr">
        <is>
          <t>TE Micro MATE-N-LOK</t>
        </is>
      </c>
      <c r="C4" s="9" t="inlineStr">
        <is>
          <t>crimp</t>
        </is>
      </c>
      <c r="D4" s="9" t="inlineStr">
        <is>
          <t>contacto fêmea Micro MATE-N-LOK (AWG por confirmar)</t>
        </is>
      </c>
      <c r="E4" s="9" t="n"/>
      <c r="F4" s="9" t="inlineStr">
        <is>
          <t>Notion · LART Central / Electronics / Inventory Management / BOM Management / Connectors Harness (2026-10-22)</t>
        </is>
      </c>
      <c r="G4" s="9" t="inlineStr">
        <is>
          <t>N</t>
        </is>
      </c>
      <c r="H4" s="10" t="n"/>
    </row>
    <row r="5">
      <c r="A5" s="13" t="inlineStr">
        <is>
          <t>794617-8</t>
        </is>
      </c>
      <c r="B5" s="9" t="inlineStr">
        <is>
          <t>TE Micro MATE-N-LOK</t>
        </is>
      </c>
      <c r="C5" s="9" t="inlineStr">
        <is>
          <t>ficha</t>
        </is>
      </c>
      <c r="D5" s="9" t="inlineStr">
        <is>
          <t>8 vias · Acquisition (8 vias)</t>
        </is>
      </c>
      <c r="E5" s="9" t="n"/>
      <c r="F5" s="9" t="inlineStr">
        <is>
          <t>Notion · LART Central / Electronics / Inventory Management / BOM Management / Connectors Harness (2026-10-22)</t>
        </is>
      </c>
      <c r="G5" s="9" t="inlineStr">
        <is>
          <t>N</t>
        </is>
      </c>
      <c r="H5" s="10" t="n"/>
    </row>
    <row r="6">
      <c r="A6" s="13" t="inlineStr">
        <is>
          <t>MS20W23F-10</t>
        </is>
      </c>
      <c r="B6" s="9" t="inlineStr">
        <is>
          <t>Amphenol Sine RTS (ecomate, circular)</t>
        </is>
      </c>
      <c r="C6" s="9" t="inlineStr">
        <is>
          <t>crimp</t>
        </is>
      </c>
      <c r="D6" s="9" t="inlineStr">
        <is>
          <t>contacto fêmea tamanho 20, crimp</t>
        </is>
      </c>
      <c r="E6" s="9" t="inlineStr">
        <is>
          <t>20–22 AWG</t>
        </is>
      </c>
      <c r="F6" s="9" t="inlineStr">
        <is>
          <t>Notion · LART Central / Electronics / Inventory Management / BOM Management / Connectors Harness (2026-10-22)</t>
        </is>
      </c>
      <c r="G6" s="9" t="inlineStr">
        <is>
          <t>N</t>
        </is>
      </c>
      <c r="H6" s="10" t="n"/>
    </row>
    <row r="7">
      <c r="A7" s="13" t="inlineStr">
        <is>
          <t>RTS718N32S03</t>
        </is>
      </c>
      <c r="B7" s="9" t="inlineStr">
        <is>
          <t>Amphenol Sine RTS (ecomate, circular)</t>
        </is>
      </c>
      <c r="C7" s="9" t="inlineStr">
        <is>
          <t>ficha</t>
        </is>
      </c>
      <c r="D7" s="9" t="inlineStr">
        <is>
          <t>32 vias · conector principal das caixas: Rasp Box, Data Box, LV Box ×2, Junction Box, Acumulador</t>
        </is>
      </c>
      <c r="E7" s="9" t="n"/>
      <c r="F7" s="9" t="inlineStr">
        <is>
          <t>Notion · LART Central / Electronics / Inventory Management / BOM Management / Connectors Harness (2026-10-22)</t>
        </is>
      </c>
      <c r="G7" s="9" t="inlineStr">
        <is>
          <t>N</t>
        </is>
      </c>
      <c r="H7" s="10" t="n"/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crítico</t>
        </is>
      </c>
      <c r="C2" s="2" t="inlineStr">
        <is>
          <t>ACQUISITION J1:8</t>
        </is>
      </c>
      <c r="D2" s="2" t="inlineStr">
        <is>
          <t>O pino ACQUISITION J1:8 tem 2 ligações diferentes: RASPBERRY J3:2 (folha Acquisition Board 4); RASPBERRY J2:2 (folha Raspberry Pi).</t>
        </is>
      </c>
      <c r="E2" s="2" t="inlineStr">
        <is>
          <t>RASPBERRY J3:2 (folha Acquisition Board 4)</t>
        </is>
      </c>
      <c r="F2" s="2" t="inlineStr">
        <is>
          <t>RASPBERRY J2:2 (folha Raspberry Pi)</t>
        </is>
      </c>
      <c r="G2" s="2" t="inlineStr">
        <is>
          <t>Ficaram todas — decidir qual é a certa e apagar as outras.</t>
        </is>
      </c>
      <c r="H2" s="10" t="n"/>
      <c r="I2" s="9" t="inlineStr">
        <is>
          <t>aberto</t>
        </is>
      </c>
      <c r="J2" s="11">
        <f>COUNTIF(Wires!$U$2:$U$1000,"*"&amp;A2&amp;"*")</f>
        <v/>
      </c>
    </row>
    <row r="3">
      <c r="A3" s="2" t="inlineStr">
        <is>
          <t>I-02</t>
        </is>
      </c>
      <c r="B3" s="2" t="inlineStr">
        <is>
          <t>crítico</t>
        </is>
      </c>
      <c r="C3" s="2" t="inlineStr">
        <is>
          <t>RASPBERRY J3:2</t>
        </is>
      </c>
      <c r="D3" s="2" t="inlineStr">
        <is>
          <t>O pino RASPBERRY J3:2 tem 2 ligações diferentes: ACQUISITION J1:8 (folha Acquisition Board 4); DATABOX J1:G (folha DataBox J1, Raspberry Pi).</t>
        </is>
      </c>
      <c r="E3" s="2" t="inlineStr">
        <is>
          <t>ACQUISITION J1:8 (folha Acquisition Board 4)</t>
        </is>
      </c>
      <c r="F3" s="2" t="inlineStr">
        <is>
          <t>DATABOX J1:G (folha DataBox J1, Raspberry Pi)</t>
        </is>
      </c>
      <c r="G3" s="2" t="inlineStr">
        <is>
          <t>Ficaram todas — decidir qual é a certa e apagar as outras.</t>
        </is>
      </c>
      <c r="H3" s="10" t="n"/>
      <c r="I3" s="9" t="inlineStr">
        <is>
          <t>aberto</t>
        </is>
      </c>
      <c r="J3" s="11">
        <f>COUNTIF(Wires!$U$2:$U$1000,"*"&amp;A3&amp;"*")</f>
        <v/>
      </c>
    </row>
    <row r="4">
      <c r="A4" s="2" t="inlineStr">
        <is>
          <t>I-03</t>
        </is>
      </c>
      <c r="B4" s="2" t="inlineStr">
        <is>
          <t>crítico</t>
        </is>
      </c>
      <c r="C4" s="2" t="inlineStr">
        <is>
          <t>ACQUISITION J1:10</t>
        </is>
      </c>
      <c r="D4" s="2" t="inlineStr">
        <is>
          <t>O pino ACQUISITION J1:10 tem 2 ligações diferentes: RASPBERRY J3:3 (folha Acquisition Board 4); RASPBERRY J2:3 (folha Raspberry Pi).</t>
        </is>
      </c>
      <c r="E4" s="2" t="inlineStr">
        <is>
          <t>RASPBERRY J3:3 (folha Acquisition Board 4)</t>
        </is>
      </c>
      <c r="F4" s="2" t="inlineStr">
        <is>
          <t>RASPBERRY J2:3 (folha Raspberry Pi)</t>
        </is>
      </c>
      <c r="G4" s="2" t="inlineStr">
        <is>
          <t>Ficaram todas — decidir qual é a certa e apagar as outras.</t>
        </is>
      </c>
      <c r="H4" s="10" t="n"/>
      <c r="I4" s="9" t="inlineStr">
        <is>
          <t>aberto</t>
        </is>
      </c>
      <c r="J4" s="11">
        <f>COUNTIF(Wires!$U$2:$U$1000,"*"&amp;A4&amp;"*")</f>
        <v/>
      </c>
    </row>
    <row r="5">
      <c r="A5" s="2" t="inlineStr">
        <is>
          <t>I-04</t>
        </is>
      </c>
      <c r="B5" s="2" t="inlineStr">
        <is>
          <t>crítico</t>
        </is>
      </c>
      <c r="C5" s="2" t="inlineStr">
        <is>
          <t>RASPBERRY J3:3</t>
        </is>
      </c>
      <c r="D5" s="2" t="inlineStr">
        <is>
          <t>O pino RASPBERRY J3:3 tem 2 ligações diferentes: ACQUISITION J1:10 (folha Acquisition Board 4); DATABOX J1:H (folha DataBox J1, Raspberry Pi).</t>
        </is>
      </c>
      <c r="E5" s="2" t="inlineStr">
        <is>
          <t>ACQUISITION J1:10 (folha Acquisition Board 4)</t>
        </is>
      </c>
      <c r="F5" s="2" t="inlineStr">
        <is>
          <t>DATABOX J1:H (folha DataBox J1, Raspberry Pi)</t>
        </is>
      </c>
      <c r="G5" s="2" t="inlineStr">
        <is>
          <t>Ficaram todas — decidir qual é a certa e apagar as outras.</t>
        </is>
      </c>
      <c r="H5" s="10" t="n"/>
      <c r="I5" s="9" t="inlineStr">
        <is>
          <t>aberto</t>
        </is>
      </c>
      <c r="J5" s="11">
        <f>COUNTIF(Wires!$U$2:$U$1000,"*"&amp;A5&amp;"*")</f>
        <v/>
      </c>
    </row>
    <row r="6">
      <c r="A6" s="2" t="inlineStr">
        <is>
          <t>I-05</t>
        </is>
      </c>
      <c r="B6" s="2" t="inlineStr">
        <is>
          <t>crítico</t>
        </is>
      </c>
      <c r="C6" s="2" t="inlineStr">
        <is>
          <t>ACQUISITION J3:7</t>
        </is>
      </c>
      <c r="D6" s="2" t="inlineStr">
        <is>
          <t>O pino ACQUISITION J3:7 tem 3 ligações diferentes: R2D J1:3 (folha Acquisition Board 4, R2D Button); AMS LED J1:1 (folha LEDS); IMD LED J1:1 (folha LEDS).</t>
        </is>
      </c>
      <c r="E6" s="2" t="inlineStr">
        <is>
          <t>R2D J1:3 (folha Acquisition Board 4, R2D Button)</t>
        </is>
      </c>
      <c r="F6" s="2" t="inlineStr">
        <is>
          <t>AMS LED J1:1 (folha LEDS)</t>
        </is>
      </c>
      <c r="G6" s="2" t="inlineStr">
        <is>
          <t>Ficaram todas — decidir qual é a certa e apagar as outras.</t>
        </is>
      </c>
      <c r="H6" s="10" t="n"/>
      <c r="I6" s="9" t="inlineStr">
        <is>
          <t>aberto</t>
        </is>
      </c>
      <c r="J6" s="11">
        <f>COUNTIF(Wires!$U$2:$U$1000,"*"&amp;A6&amp;"*")</f>
        <v/>
      </c>
    </row>
    <row r="7">
      <c r="A7" s="2" t="inlineStr">
        <is>
          <t>I-06</t>
        </is>
      </c>
      <c r="B7" s="2" t="inlineStr">
        <is>
          <t>crítico</t>
        </is>
      </c>
      <c r="C7" s="2" t="inlineStr">
        <is>
          <t>ACQUISITION J3:12</t>
        </is>
      </c>
      <c r="D7" s="2" t="inlineStr">
        <is>
          <t>O pino ACQUISITION J3:12 tem 5 ligações diferentes: TS ON LED J1:Aos LEDS (folha Acquisition Board 4); TS OFF LED J1:2 (folha LEDS); SDC LED J1:2 (folha LEDS); LV ON LED J1:2 (folha LEDS); TS ON LED J1:2 (folha LEDS).</t>
        </is>
      </c>
      <c r="E7" s="2" t="inlineStr">
        <is>
          <t>TS ON LED J1:Aos LEDS (folha Acquisition Board 4)</t>
        </is>
      </c>
      <c r="F7" s="2" t="inlineStr">
        <is>
          <t>TS OFF LED J1:2 (folha LEDS)</t>
        </is>
      </c>
      <c r="G7" s="2" t="inlineStr">
        <is>
          <t>Ficaram todas — decidir qual é a certa e apagar as outras.</t>
        </is>
      </c>
      <c r="H7" s="10" t="n"/>
      <c r="I7" s="9" t="inlineStr">
        <is>
          <t>aberto</t>
        </is>
      </c>
      <c r="J7" s="11">
        <f>COUNTIF(Wires!$U$2:$U$1000,"*"&amp;A7&amp;"*")</f>
        <v/>
      </c>
    </row>
    <row r="8">
      <c r="A8" s="2" t="inlineStr">
        <is>
          <t>I-07</t>
        </is>
      </c>
      <c r="B8" s="2" t="inlineStr">
        <is>
          <t>crítico</t>
        </is>
      </c>
      <c r="C8" s="2" t="inlineStr">
        <is>
          <t>DATABOX J1:W</t>
        </is>
      </c>
      <c r="D8" s="2" t="inlineStr">
        <is>
          <t>O pino DATABOX J1:W tem 2 ligações diferentes: SPL RASPBERRY J6-2 - 5V:S (folha Raspberry Pi); RASPBERRY J6:2 (folha DataBox J1).</t>
        </is>
      </c>
      <c r="E8" s="2" t="inlineStr">
        <is>
          <t>SPL RASPBERRY J6-2 - 5V:S (folha Raspberry Pi)</t>
        </is>
      </c>
      <c r="F8" s="2" t="inlineStr">
        <is>
          <t>RASPBERRY J6:2 (folha DataBox J1)</t>
        </is>
      </c>
      <c r="G8" s="2" t="inlineStr">
        <is>
          <t>Ficaram todas — decidir qual é a certa e apagar as outras.</t>
        </is>
      </c>
      <c r="H8" s="10" t="n"/>
      <c r="I8" s="9" t="inlineStr">
        <is>
          <t>aberto</t>
        </is>
      </c>
      <c r="J8" s="11">
        <f>COUNTIF(Wires!$U$2:$U$1000,"*"&amp;A8&amp;"*")</f>
        <v/>
      </c>
    </row>
    <row r="9">
      <c r="A9" s="2" t="inlineStr">
        <is>
          <t>I-08</t>
        </is>
      </c>
      <c r="B9" s="2" t="inlineStr">
        <is>
          <t>crítico</t>
        </is>
      </c>
      <c r="C9" s="2" t="inlineStr">
        <is>
          <t>LED STRIP J1:1</t>
        </is>
      </c>
      <c r="D9" s="2" t="inlineStr">
        <is>
          <t>O pino LED STRIP J1:1 tem 2 ligações diferentes: SPL RASPBERRY J6-2 - 5V:S (folha Raspberry Pi); RASPBERRY J6:2 (folha LED Strip).</t>
        </is>
      </c>
      <c r="E9" s="2" t="inlineStr">
        <is>
          <t>SPL RASPBERRY J6-2 - 5V:S (folha Raspberry Pi)</t>
        </is>
      </c>
      <c r="F9" s="2" t="inlineStr">
        <is>
          <t>RASPBERRY J6:2 (folha LED Strip)</t>
        </is>
      </c>
      <c r="G9" s="2" t="inlineStr">
        <is>
          <t>Ficaram todas — decidir qual é a certa e apagar as outras.</t>
        </is>
      </c>
      <c r="H9" s="10" t="n"/>
      <c r="I9" s="9" t="inlineStr">
        <is>
          <t>aberto</t>
        </is>
      </c>
      <c r="J9" s="11">
        <f>COUNTIF(Wires!$U$2:$U$1000,"*"&amp;A9&amp;"*")</f>
        <v/>
      </c>
    </row>
    <row r="10">
      <c r="A10" s="2" t="inlineStr">
        <is>
          <t>I-09</t>
        </is>
      </c>
      <c r="B10" s="2" t="inlineStr">
        <is>
          <t>crítico</t>
        </is>
      </c>
      <c r="C10" s="2" t="inlineStr">
        <is>
          <t>DATABOX J1:a</t>
        </is>
      </c>
      <c r="D10" s="2" t="inlineStr">
        <is>
          <t>O pino DATABOX J1:a tem 2 ligações diferentes: RASPBERRY J6:4 - 5V (folha Raspberry Pi); RASPBERRY J6:4 (folha DataBox J1).</t>
        </is>
      </c>
      <c r="E10" s="2" t="inlineStr">
        <is>
          <t>RASPBERRY J6:4 - 5V (folha Raspberry Pi)</t>
        </is>
      </c>
      <c r="F10" s="2" t="inlineStr">
        <is>
          <t>RASPBERRY J6:4 (folha DataBox J1)</t>
        </is>
      </c>
      <c r="G10" s="2" t="inlineStr">
        <is>
          <t>Ficaram todas — decidir qual é a certa e apagar as outras.</t>
        </is>
      </c>
      <c r="H10" s="10" t="n"/>
      <c r="I10" s="9" t="inlineStr">
        <is>
          <t>aberto</t>
        </is>
      </c>
      <c r="J10" s="11">
        <f>COUNTIF(Wires!$U$2:$U$1000,"*"&amp;A10&amp;"*")</f>
        <v/>
      </c>
    </row>
    <row r="11">
      <c r="A11" s="2" t="inlineStr">
        <is>
          <t>I-10</t>
        </is>
      </c>
      <c r="B11" s="2" t="inlineStr">
        <is>
          <t>crítico</t>
        </is>
      </c>
      <c r="C11" s="2" t="inlineStr">
        <is>
          <t>DATABOX J1:Z</t>
        </is>
      </c>
      <c r="D11" s="2" t="inlineStr">
        <is>
          <t>O pino DATABOX J1:Z tem 2 ligações diferentes: RASPBERRY J6:6 - GND (folha Raspberry Pi); RASPBERRY J6:6 (folha DataBox J1).</t>
        </is>
      </c>
      <c r="E11" s="2" t="inlineStr">
        <is>
          <t>RASPBERRY J6:6 - GND (folha Raspberry Pi)</t>
        </is>
      </c>
      <c r="F11" s="2" t="inlineStr">
        <is>
          <t>RASPBERRY J6:6 (folha DataBox J1)</t>
        </is>
      </c>
      <c r="G11" s="2" t="inlineStr">
        <is>
          <t>Ficaram todas — decidir qual é a certa e apagar as outras.</t>
        </is>
      </c>
      <c r="H11" s="10" t="n"/>
      <c r="I11" s="9" t="inlineStr">
        <is>
          <t>aberto</t>
        </is>
      </c>
      <c r="J11" s="11">
        <f>COUNTIF(Wires!$U$2:$U$1000,"*"&amp;A11&amp;"*")</f>
        <v/>
      </c>
    </row>
    <row r="12">
      <c r="A12" s="2" t="inlineStr">
        <is>
          <t>I-11</t>
        </is>
      </c>
      <c r="B12" s="2" t="inlineStr">
        <is>
          <t>crítico</t>
        </is>
      </c>
      <c r="C12" s="2" t="inlineStr">
        <is>
          <t>DATABOX J1:d</t>
        </is>
      </c>
      <c r="D12" s="2" t="inlineStr">
        <is>
          <t>O pino DATABOX J1:d tem 2 ligações diferentes: RASPBERRY J6:9 - GND (folha Raspberry Pi); RASPBERRY J6:9 (folha DataBox J1).</t>
        </is>
      </c>
      <c r="E12" s="2" t="inlineStr">
        <is>
          <t>RASPBERRY J6:9 - GND (folha Raspberry Pi)</t>
        </is>
      </c>
      <c r="F12" s="2" t="inlineStr">
        <is>
          <t>RASPBERRY J6:9 (folha DataBox J1)</t>
        </is>
      </c>
      <c r="G12" s="2" t="inlineStr">
        <is>
          <t>Ficaram todas — decidir qual é a certa e apagar as outras.</t>
        </is>
      </c>
      <c r="H12" s="10" t="n"/>
      <c r="I12" s="9" t="inlineStr">
        <is>
          <t>aberto</t>
        </is>
      </c>
      <c r="J12" s="11">
        <f>COUNTIF(Wires!$U$2:$U$1000,"*"&amp;A12&amp;"*")</f>
        <v/>
      </c>
    </row>
    <row r="13">
      <c r="A13" s="2" t="inlineStr">
        <is>
          <t>I-12</t>
        </is>
      </c>
      <c r="B13" s="2" t="inlineStr">
        <is>
          <t>crítico</t>
        </is>
      </c>
      <c r="C13" s="2" t="inlineStr">
        <is>
          <t>DATABOX J1:f</t>
        </is>
      </c>
      <c r="D13" s="2" t="inlineStr">
        <is>
          <t>O pino DATABOX J1:f tem 2 ligações diferentes: RASPBERRY J6:11 - GPIO 17 (folha Raspberry Pi); RASPBERRY J6:11 (folha DataBox J1).</t>
        </is>
      </c>
      <c r="E13" s="2" t="inlineStr">
        <is>
          <t>RASPBERRY J6:11 - GPIO 17 (folha Raspberry Pi)</t>
        </is>
      </c>
      <c r="F13" s="2" t="inlineStr">
        <is>
          <t>RASPBERRY J6:11 (folha DataBox J1)</t>
        </is>
      </c>
      <c r="G13" s="2" t="inlineStr">
        <is>
          <t>Ficaram todas — decidir qual é a certa e apagar as outras.</t>
        </is>
      </c>
      <c r="H13" s="10" t="n"/>
      <c r="I13" s="9" t="inlineStr">
        <is>
          <t>aberto</t>
        </is>
      </c>
      <c r="J13" s="11">
        <f>COUNTIF(Wires!$U$2:$U$1000,"*"&amp;A13&amp;"*")</f>
        <v/>
      </c>
    </row>
    <row r="14">
      <c r="A14" s="2" t="inlineStr">
        <is>
          <t>I-13</t>
        </is>
      </c>
      <c r="B14" s="2" t="inlineStr">
        <is>
          <t>crítico</t>
        </is>
      </c>
      <c r="C14" s="2" t="inlineStr">
        <is>
          <t>LED STRIP J1:2</t>
        </is>
      </c>
      <c r="D14" s="2" t="inlineStr">
        <is>
          <t>O pino LED STRIP J1:2 tem 2 ligações diferentes: RASPBERRY J6:12 - GPIO 18 (folha Raspberry Pi); RASPBERRY J6:12 (folha LED Strip).</t>
        </is>
      </c>
      <c r="E14" s="2" t="inlineStr">
        <is>
          <t>RASPBERRY J6:12 - GPIO 18 (folha Raspberry Pi)</t>
        </is>
      </c>
      <c r="F14" s="2" t="inlineStr">
        <is>
          <t>RASPBERRY J6:12 (folha LED Strip)</t>
        </is>
      </c>
      <c r="G14" s="2" t="inlineStr">
        <is>
          <t>Ficaram todas — decidir qual é a certa e apagar as outras.</t>
        </is>
      </c>
      <c r="H14" s="10" t="n"/>
      <c r="I14" s="9" t="inlineStr">
        <is>
          <t>aberto</t>
        </is>
      </c>
      <c r="J14" s="11">
        <f>COUNTIF(Wires!$U$2:$U$1000,"*"&amp;A14&amp;"*")</f>
        <v/>
      </c>
    </row>
    <row r="15">
      <c r="A15" s="2" t="inlineStr">
        <is>
          <t>I-14</t>
        </is>
      </c>
      <c r="B15" s="2" t="inlineStr">
        <is>
          <t>crítico</t>
        </is>
      </c>
      <c r="C15" s="2" t="inlineStr">
        <is>
          <t>DATABOX J1:X</t>
        </is>
      </c>
      <c r="D15" s="2" t="inlineStr">
        <is>
          <t>O pino DATABOX J1:X tem 2 ligações diferentes: RASPBERRY J6:16 - GPIO 23 (folha Raspberry Pi); RASPBERRY J6:16 (folha DataBox J1).</t>
        </is>
      </c>
      <c r="E15" s="2" t="inlineStr">
        <is>
          <t>RASPBERRY J6:16 - GPIO 23 (folha Raspberry Pi)</t>
        </is>
      </c>
      <c r="F15" s="2" t="inlineStr">
        <is>
          <t>RASPBERRY J6:16 (folha DataBox J1)</t>
        </is>
      </c>
      <c r="G15" s="2" t="inlineStr">
        <is>
          <t>Ficaram todas — decidir qual é a certa e apagar as outras.</t>
        </is>
      </c>
      <c r="H15" s="10" t="n"/>
      <c r="I15" s="9" t="inlineStr">
        <is>
          <t>aberto</t>
        </is>
      </c>
      <c r="J15" s="11">
        <f>COUNTIF(Wires!$U$2:$U$1000,"*"&amp;A15&amp;"*")</f>
        <v/>
      </c>
    </row>
    <row r="16">
      <c r="A16" s="2" t="inlineStr">
        <is>
          <t>I-15</t>
        </is>
      </c>
      <c r="B16" s="2" t="inlineStr">
        <is>
          <t>crítico</t>
        </is>
      </c>
      <c r="C16" s="2" t="inlineStr">
        <is>
          <t>DATABOX J1:e</t>
        </is>
      </c>
      <c r="D16" s="2" t="inlineStr">
        <is>
          <t>O pino DATABOX J1:e tem 2 ligações diferentes: RASPBERRY J6:17 - 3,3V (folha Raspberry Pi); RASPBERRY J6:17 (folha DataBox J1).</t>
        </is>
      </c>
      <c r="E16" s="2" t="inlineStr">
        <is>
          <t>RASPBERRY J6:17 - 3,3V (folha Raspberry Pi)</t>
        </is>
      </c>
      <c r="F16" s="2" t="inlineStr">
        <is>
          <t>RASPBERRY J6:17 (folha DataBox J1)</t>
        </is>
      </c>
      <c r="G16" s="2" t="inlineStr">
        <is>
          <t>Ficaram todas — decidir qual é a certa e apagar as outras.</t>
        </is>
      </c>
      <c r="H16" s="10" t="n"/>
      <c r="I16" s="9" t="inlineStr">
        <is>
          <t>aberto</t>
        </is>
      </c>
      <c r="J16" s="11">
        <f>COUNTIF(Wires!$U$2:$U$1000,"*"&amp;A16&amp;"*")</f>
        <v/>
      </c>
    </row>
    <row r="17">
      <c r="A17" s="2" t="inlineStr">
        <is>
          <t>I-16</t>
        </is>
      </c>
      <c r="B17" s="2" t="inlineStr">
        <is>
          <t>crítico</t>
        </is>
      </c>
      <c r="C17" s="2" t="inlineStr">
        <is>
          <t>DATABOX J1:c</t>
        </is>
      </c>
      <c r="D17" s="2" t="inlineStr">
        <is>
          <t>O pino DATABOX J1:c tem 2 ligações diferentes: RASPBERRY J6:18 - GPIO 24 (folha Raspberry Pi); RASPBERRY J6:18 (folha DataBox J1).</t>
        </is>
      </c>
      <c r="E17" s="2" t="inlineStr">
        <is>
          <t>RASPBERRY J6:18 - GPIO 24 (folha Raspberry Pi)</t>
        </is>
      </c>
      <c r="F17" s="2" t="inlineStr">
        <is>
          <t>RASPBERRY J6:18 (folha DataBox J1)</t>
        </is>
      </c>
      <c r="G17" s="2" t="inlineStr">
        <is>
          <t>Ficaram todas — decidir qual é a certa e apagar as outras.</t>
        </is>
      </c>
      <c r="H17" s="10" t="n"/>
      <c r="I17" s="9" t="inlineStr">
        <is>
          <t>aberto</t>
        </is>
      </c>
      <c r="J17" s="11">
        <f>COUNTIF(Wires!$U$2:$U$1000,"*"&amp;A17&amp;"*")</f>
        <v/>
      </c>
    </row>
    <row r="18">
      <c r="A18" s="2" t="inlineStr">
        <is>
          <t>I-17</t>
        </is>
      </c>
      <c r="B18" s="2" t="inlineStr">
        <is>
          <t>crítico</t>
        </is>
      </c>
      <c r="C18" s="2" t="inlineStr">
        <is>
          <t>LED STRIP J1:3</t>
        </is>
      </c>
      <c r="D18" s="2" t="inlineStr">
        <is>
          <t>O pino LED STRIP J1:3 tem 2 ligações diferentes: RASPBERRY J6:20 - GND (folha Raspberry Pi); RASPBERRY J6:20 (folha LED Strip).</t>
        </is>
      </c>
      <c r="E18" s="2" t="inlineStr">
        <is>
          <t>RASPBERRY J6:20 - GND (folha Raspberry Pi)</t>
        </is>
      </c>
      <c r="F18" s="2" t="inlineStr">
        <is>
          <t>RASPBERRY J6:20 (folha LED Strip)</t>
        </is>
      </c>
      <c r="G18" s="2" t="inlineStr">
        <is>
          <t>Ficaram todas — decidir qual é a certa e apagar as outras.</t>
        </is>
      </c>
      <c r="H18" s="10" t="n"/>
      <c r="I18" s="9" t="inlineStr">
        <is>
          <t>aberto</t>
        </is>
      </c>
      <c r="J18" s="11">
        <f>COUNTIF(Wires!$U$2:$U$1000,"*"&amp;A18&amp;"*")</f>
        <v/>
      </c>
    </row>
    <row r="19">
      <c r="A19" s="2" t="inlineStr">
        <is>
          <t>I-18</t>
        </is>
      </c>
      <c r="B19" s="2" t="inlineStr">
        <is>
          <t>crítico</t>
        </is>
      </c>
      <c r="C19" s="2" t="inlineStr">
        <is>
          <t>DATABOX J1:b</t>
        </is>
      </c>
      <c r="D19" s="2" t="inlineStr">
        <is>
          <t>O pino DATABOX J1:b tem 2 ligações diferentes: RASPBERRY J6:22 - GPIO 25 (folha Raspberry Pi); RASPBERRY J6:22 (folha DataBox J1).</t>
        </is>
      </c>
      <c r="E19" s="2" t="inlineStr">
        <is>
          <t>RASPBERRY J6:22 - GPIO 25 (folha Raspberry Pi)</t>
        </is>
      </c>
      <c r="F19" s="2" t="inlineStr">
        <is>
          <t>RASPBERRY J6:22 (folha DataBox J1)</t>
        </is>
      </c>
      <c r="G19" s="2" t="inlineStr">
        <is>
          <t>Ficaram todas — decidir qual é a certa e apagar as outras.</t>
        </is>
      </c>
      <c r="H19" s="10" t="n"/>
      <c r="I19" s="9" t="inlineStr">
        <is>
          <t>aberto</t>
        </is>
      </c>
      <c r="J19" s="11">
        <f>COUNTIF(Wires!$U$2:$U$1000,"*"&amp;A19&amp;"*")</f>
        <v/>
      </c>
    </row>
    <row r="20">
      <c r="A20" s="2" t="inlineStr">
        <is>
          <t>I-19</t>
        </is>
      </c>
      <c r="B20" s="2" t="inlineStr">
        <is>
          <t>crítico</t>
        </is>
      </c>
      <c r="C20" s="2" t="inlineStr">
        <is>
          <t>DATABOX J1:Y</t>
        </is>
      </c>
      <c r="D20" s="2" t="inlineStr">
        <is>
          <t>O pino DATABOX J1:Y tem 2 ligações diferentes: RASPBERRY J6:29 - GPIO 5 (folha Raspberry Pi); RASPBERRY J6:29 (folha DataBox J1).</t>
        </is>
      </c>
      <c r="E20" s="2" t="inlineStr">
        <is>
          <t>RASPBERRY J6:29 - GPIO 5 (folha Raspberry Pi)</t>
        </is>
      </c>
      <c r="F20" s="2" t="inlineStr">
        <is>
          <t>RASPBERRY J6:29 (folha DataBox J1)</t>
        </is>
      </c>
      <c r="G20" s="2" t="inlineStr">
        <is>
          <t>Ficaram todas — decidir qual é a certa e apagar as outras.</t>
        </is>
      </c>
      <c r="H20" s="10" t="n"/>
      <c r="I20" s="9" t="inlineStr">
        <is>
          <t>aberto</t>
        </is>
      </c>
      <c r="J20" s="11">
        <f>COUNTIF(Wires!$U$2:$U$1000,"*"&amp;A20&amp;"*")</f>
        <v/>
      </c>
    </row>
    <row r="21">
      <c r="A21" s="2" t="inlineStr">
        <is>
          <t>I-20</t>
        </is>
      </c>
      <c r="B21" s="2" t="inlineStr">
        <is>
          <t>crítico</t>
        </is>
      </c>
      <c r="C21" s="2" t="inlineStr">
        <is>
          <t>RASPBERRY J6:2</t>
        </is>
      </c>
      <c r="D21" s="2" t="inlineStr">
        <is>
          <t>O pino RASPBERRY J6:2 tem 2 ligações diferentes: LED STRIP J1:1 (folha LED Strip); DATABOX J1:W (folha DataBox J1).</t>
        </is>
      </c>
      <c r="E21" s="2" t="inlineStr">
        <is>
          <t>LED STRIP J1:1 (folha LED Strip)</t>
        </is>
      </c>
      <c r="F21" s="2" t="inlineStr">
        <is>
          <t>DATABOX J1:W (folha DataBox J1)</t>
        </is>
      </c>
      <c r="G21" s="2" t="inlineStr">
        <is>
          <t>Ficaram todas — decidir qual é a certa e apagar as outras.</t>
        </is>
      </c>
      <c r="H21" s="10" t="n"/>
      <c r="I21" s="9" t="inlineStr">
        <is>
          <t>aberto</t>
        </is>
      </c>
      <c r="J21" s="11">
        <f>COUNTIF(Wires!$U$2:$U$1000,"*"&amp;A21&amp;"*")</f>
        <v/>
      </c>
    </row>
    <row r="22">
      <c r="A22" s="2" t="inlineStr">
        <is>
          <t>I-21</t>
        </is>
      </c>
      <c r="B22" s="2" t="inlineStr">
        <is>
          <t>menor</t>
        </is>
      </c>
      <c r="C22" s="2" t="inlineStr">
        <is>
          <t>2 linha(s)</t>
        </is>
      </c>
      <c r="D22" s="2" t="inlineStr">
        <is>
          <t>Destino sem pino: LCD:1 → destino RASPBERRY PI sem pino (folha LCD); LCD:2 → destino RASPBERRY PI MICRO HDMI PORT sem pino (folha LCD)</t>
        </is>
      </c>
      <c r="E22" s="2" t="n"/>
      <c r="F22" s="2" t="n"/>
      <c r="G22" s="2" t="inlineStr">
        <is>
          <t>Pino marcado "?"</t>
        </is>
      </c>
      <c r="H22" s="10" t="n"/>
      <c r="I22" s="9" t="inlineStr">
        <is>
          <t>aberto</t>
        </is>
      </c>
      <c r="J22" s="11">
        <f>COUNTIF(Wires!$U$2:$U$1000,"*"&amp;A22&amp;"*")</f>
        <v/>
      </c>
    </row>
    <row r="23">
      <c r="A23" s="2" t="inlineStr">
        <is>
          <t>I-22</t>
        </is>
      </c>
      <c r="B23" s="2" t="inlineStr">
        <is>
          <t>info</t>
        </is>
      </c>
      <c r="C23" s="2" t="inlineStr">
        <is>
          <t>destinos</t>
        </is>
      </c>
      <c r="D23" s="2" t="inlineStr">
        <is>
          <t>2 conector(es) só aparecem como destino, sem folha própria: RASPBERRY PI, RASPBERRY PI MICRO HDMI PORT.</t>
        </is>
      </c>
      <c r="E23" s="2" t="n"/>
      <c r="F23" s="2" t="n"/>
      <c r="G23" s="2" t="n"/>
      <c r="H23" s="10" t="n"/>
      <c r="I23" s="9" t="inlineStr">
        <is>
          <t>aberto</t>
        </is>
      </c>
      <c r="J23" s="11">
        <f>COUNTIF(Wires!$U$2:$U$1000,"*"&amp;A23&amp;"*")</f>
        <v/>
      </c>
    </row>
    <row r="24">
      <c r="A24" s="2" t="inlineStr">
        <is>
          <t>I-23</t>
        </is>
      </c>
      <c r="B24" s="2" t="inlineStr">
        <is>
          <t>info</t>
        </is>
      </c>
      <c r="C24" s="2" t="inlineStr">
        <is>
          <t>reciprocidade</t>
        </is>
      </c>
      <c r="D24" s="2" t="inlineStr">
        <is>
          <t>38 fio(s) só estão escritos numa das pontas, embora as duas tenham folha: ACQUISITION J1:8→RASPBERRY J3:2, ACQUISITION J1:10→RASPBERRY J3:3, ACQUISITION J3:12→TS ON LED J1:Aos LEDS, RASPBERRY J2:2→ACQUISITION J1:8, RASPBERRY J2:3→ACQUISITION J1:10, RASPBERRY J4:Power_LCD→LCD:LCD Power, RASPBERRY J5:HDMI→LCD:HDMI, RASPBERRY J6:4 - 5V→DATABOX J1:a, RASPBERRY J6:6 - GND→DATABOX J1:Z, RASPBERRY J6:9 - GND→DATABOX J1:d, DATABOX J1:f→RASPBERRY J6:11 - GPIO 17, RASPBERRY J6:12 - GPIO 18→LED STRIP J1:2, DATABOX J1:g→RASPBERRY J6:13 - GPIO 27, DATABOX J1:X→RASPBERRY J6:16 - GPIO 23, DATABOX J1:e→RASPBERRY J6:17 - 3,3V, DATABOX J1:c→RASPBERRY J6:18 - GPIO 24, RASPBERRY J6:20 - GND→LED STRIP J1:3, DATABOX J1:b→RASPBERRY J6:22 - GPIO 25, DATABOX J1:Y→RASPBERRY J6:29 - GPIO 5, LED STRIP J1:1→RASPBERRY J6:2 …</t>
        </is>
      </c>
      <c r="E24" s="2" t="n"/>
      <c r="F24" s="2" t="n"/>
      <c r="G24" s="2" t="n"/>
      <c r="H24" s="10" t="n"/>
      <c r="I24" s="9" t="inlineStr">
        <is>
          <t>aberto</t>
        </is>
      </c>
      <c r="J24" s="11">
        <f>COUNTIF(Wires!$U$2:$U$1000,"*"&amp;A24&amp;"*")</f>
        <v/>
      </c>
    </row>
  </sheetData>
  <autoFilter ref="A1:J24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9" t="inlineStr">
        <is>
          <t>Cores IEC 60757</t>
        </is>
      </c>
      <c r="E2" s="9" t="inlineStr">
        <is>
          <t>Secção → AWG (equivalência aproximada)</t>
        </is>
      </c>
    </row>
    <row r="3">
      <c r="A3" s="9" t="inlineStr">
        <is>
          <t>BK</t>
        </is>
      </c>
      <c r="B3" s="9" t="inlineStr">
        <is>
          <t>preto</t>
        </is>
      </c>
      <c r="C3" s="9" t="n"/>
      <c r="E3" s="9" t="n">
        <v>0.14</v>
      </c>
      <c r="F3" s="9" t="n">
        <v>26</v>
      </c>
    </row>
    <row r="4">
      <c r="A4" s="9" t="inlineStr">
        <is>
          <t>BN</t>
        </is>
      </c>
      <c r="B4" s="9" t="inlineStr">
        <is>
          <t>castanho</t>
        </is>
      </c>
      <c r="C4" s="9" t="inlineStr">
        <is>
          <t>GND</t>
        </is>
      </c>
      <c r="E4" s="9" t="n">
        <v>0.22</v>
      </c>
      <c r="F4" s="9" t="n">
        <v>24</v>
      </c>
    </row>
    <row r="5">
      <c r="A5" s="9" t="inlineStr">
        <is>
          <t>RD</t>
        </is>
      </c>
      <c r="B5" s="9" t="inlineStr">
        <is>
          <t>vermelho</t>
        </is>
      </c>
      <c r="C5" s="9" t="inlineStr">
        <is>
          <t>CAN H</t>
        </is>
      </c>
      <c r="E5" s="9" t="n">
        <v>0.35</v>
      </c>
      <c r="F5" s="9" t="n">
        <v>22</v>
      </c>
    </row>
    <row r="6">
      <c r="A6" s="9" t="inlineStr">
        <is>
          <t>OG</t>
        </is>
      </c>
      <c r="B6" s="9" t="inlineStr">
        <is>
          <t>laranja</t>
        </is>
      </c>
      <c r="C6" s="9" t="inlineStr">
        <is>
          <t>HV (obrigatório)</t>
        </is>
      </c>
      <c r="E6" s="9" t="n">
        <v>0.5</v>
      </c>
      <c r="F6" s="9" t="n">
        <v>20</v>
      </c>
    </row>
    <row r="7">
      <c r="A7" s="9" t="inlineStr">
        <is>
          <t>YE</t>
        </is>
      </c>
      <c r="B7" s="9" t="inlineStr">
        <is>
          <t>amarelo</t>
        </is>
      </c>
      <c r="C7" s="9" t="inlineStr">
        <is>
          <t>+24 V</t>
        </is>
      </c>
      <c r="E7" s="9" t="n">
        <v>0.75</v>
      </c>
      <c r="F7" s="9" t="n">
        <v>18</v>
      </c>
    </row>
    <row r="8">
      <c r="A8" s="9" t="inlineStr">
        <is>
          <t>GN</t>
        </is>
      </c>
      <c r="B8" s="9" t="inlineStr">
        <is>
          <t>verde</t>
        </is>
      </c>
      <c r="C8" s="9" t="inlineStr">
        <is>
          <t>CAN carregador H</t>
        </is>
      </c>
      <c r="E8" s="9" t="n">
        <v>1</v>
      </c>
      <c r="F8" s="9" t="n">
        <v>17</v>
      </c>
    </row>
    <row r="9">
      <c r="A9" s="9" t="inlineStr">
        <is>
          <t>BU</t>
        </is>
      </c>
      <c r="B9" s="9" t="inlineStr">
        <is>
          <t>azul</t>
        </is>
      </c>
      <c r="C9" s="9" t="inlineStr">
        <is>
          <t>SDC / CAN L</t>
        </is>
      </c>
      <c r="E9" s="9" t="n">
        <v>1.5</v>
      </c>
      <c r="F9" s="9" t="n">
        <v>16</v>
      </c>
    </row>
    <row r="10">
      <c r="A10" s="9" t="inlineStr">
        <is>
          <t>VT</t>
        </is>
      </c>
      <c r="B10" s="9" t="inlineStr">
        <is>
          <t>violeta</t>
        </is>
      </c>
      <c r="C10" s="9" t="inlineStr">
        <is>
          <t>CAN carregador L</t>
        </is>
      </c>
      <c r="E10" s="9" t="n">
        <v>2.5</v>
      </c>
      <c r="F10" s="9" t="n">
        <v>14</v>
      </c>
    </row>
    <row r="11">
      <c r="A11" s="9" t="inlineStr">
        <is>
          <t>GY</t>
        </is>
      </c>
      <c r="B11" s="9" t="inlineStr">
        <is>
          <t>cinzento</t>
        </is>
      </c>
      <c r="C11" s="9" t="n"/>
      <c r="E11" s="9" t="n">
        <v>4</v>
      </c>
      <c r="F11" s="9" t="n">
        <v>12</v>
      </c>
    </row>
    <row r="12">
      <c r="A12" s="9" t="inlineStr">
        <is>
          <t>WH</t>
        </is>
      </c>
      <c r="B12" s="9" t="inlineStr">
        <is>
          <t>branco</t>
        </is>
      </c>
      <c r="C12" s="9" t="inlineStr">
        <is>
          <t>sinal</t>
        </is>
      </c>
      <c r="E12" s="9" t="n">
        <v>6</v>
      </c>
      <c r="F12" s="9" t="n">
        <v>10</v>
      </c>
    </row>
    <row r="13">
      <c r="A13" s="9" t="inlineStr">
        <is>
          <t>PK</t>
        </is>
      </c>
      <c r="B13" s="9" t="inlineStr">
        <is>
          <t>rosa</t>
        </is>
      </c>
      <c r="C13" s="9" t="n"/>
      <c r="E13" s="9" t="n">
        <v>10</v>
      </c>
      <c r="F13" s="9" t="n">
        <v>8</v>
      </c>
    </row>
    <row r="14">
      <c r="A14" s="9" t="inlineStr">
        <is>
          <t>TQ</t>
        </is>
      </c>
      <c r="B14" s="9" t="inlineStr">
        <is>
          <t>turquesa</t>
        </is>
      </c>
      <c r="C14" s="9" t="n"/>
      <c r="E14" s="9" t="n">
        <v>16</v>
      </c>
      <c r="F14" s="9" t="n">
        <v>6</v>
      </c>
    </row>
    <row r="15">
      <c r="E15" s="9" t="n">
        <v>25</v>
      </c>
      <c r="F15" s="9" t="n">
        <v>4</v>
      </c>
    </row>
    <row r="16">
      <c r="E16" s="9" t="n">
        <v>35</v>
      </c>
      <c r="F16" s="9" t="n">
        <v>2</v>
      </c>
    </row>
    <row r="17">
      <c r="E17" s="9" t="n">
        <v>50</v>
      </c>
      <c r="F1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2026-10-22T22:33:28Z</dcterms:created>
  <dcterms:modified xsi:type="dcterms:W3CDTF">2026-10-22T22:33:28Z</dcterms:modified>
</cp:coreProperties>
</file>