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'Wires'!$A$1:$Z$7</definedName>
    <definedName name="_xlnm._FilterDatabase" localSheetId="2" hidden="1">'Connectors'!$A$1:$T$8</definedName>
    <definedName name="_xlnm._FilterDatabase" localSheetId="3" hidden="1">'Pins'!$A$1:$O$37</definedName>
    <definedName name="_xlnm._FilterDatabase" localSheetId="4" hidden="1">'Parts'!$A$1:$H$1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b val="1"/>
      <sz val="14"/>
    </font>
    <font>
      <name val="Arial"/>
      <b val="1"/>
      <sz val="10"/>
    </font>
    <font>
      <name val="Arial"/>
      <i val="1"/>
      <color rgb="00C55A11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Acquisition 7: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Acquisition 7.xlsx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W-ACQ7-001</t>
        </is>
      </c>
      <c r="B2" s="9" t="inlineStr">
        <is>
          <t>ACQ7</t>
        </is>
      </c>
      <c r="C2" s="9" t="inlineStr">
        <is>
          <t>24V_IN</t>
        </is>
      </c>
      <c r="D2" s="9" t="inlineStr">
        <is>
          <t>ACQUISITION 7 J1</t>
        </is>
      </c>
      <c r="E2" s="9" t="inlineStr">
        <is>
          <t>1</t>
        </is>
      </c>
      <c r="F2" s="9" t="inlineStr">
        <is>
          <t>PDM J1</t>
        </is>
      </c>
      <c r="G2" s="9" t="inlineStr">
        <is>
          <t>8</t>
        </is>
      </c>
      <c r="H2" s="9" t="inlineStr">
        <is>
          <t>RD</t>
        </is>
      </c>
      <c r="I2" s="10" t="n"/>
      <c r="J2" s="11">
        <f>IF(I2="","",IFERROR(INDEX(Lists!$F$3:$F$17,MATCH(I2,Lists!$E$3:$E$17,0)),"?"))</f>
        <v/>
      </c>
      <c r="K2" s="9" t="inlineStr">
        <is>
          <t>N</t>
        </is>
      </c>
      <c r="L2" s="9" t="inlineStr">
        <is>
          <t>24V</t>
        </is>
      </c>
      <c r="M2" s="10" t="n"/>
      <c r="N2" s="11">
        <f>IF(D2="","",IFERROR(INDEX(Connectors!$J$2:$J$1000,MATCH(D2,Connectors!$A$2:$A$1000,0))&amp;"",""))</f>
        <v/>
      </c>
      <c r="O2" s="11">
        <f>IF(F2="","",IFERROR(INDEX(Connectors!$J$2:$J$1000,MATCH(F2,Connectors!$A$2:$A$1000,0))&amp;"",""))</f>
        <v/>
      </c>
      <c r="P2" s="9" t="n"/>
      <c r="Q2" s="9" t="n"/>
      <c r="R2" s="10" t="n"/>
      <c r="S2" s="9" t="inlineStr">
        <is>
          <t>Power Supply from PDM</t>
        </is>
      </c>
      <c r="T2" s="9" t="inlineStr">
        <is>
          <t>1 ponta (folha Acquisition Board 7)</t>
        </is>
      </c>
      <c r="U2" s="9" t="n"/>
      <c r="V2" s="11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1">
        <f>IF(D2="","",D2&amp;":"&amp;E2&amp;IF(EXACT(E2,UPPER(E2)),"","|lc"))</f>
        <v/>
      </c>
      <c r="X2" s="11">
        <f>IF(F2="","",F2&amp;":"&amp;G2&amp;IF(EXACT(G2,UPPER(G2)),"","|lc"))</f>
        <v/>
      </c>
      <c r="Y2" s="9" t="n"/>
      <c r="Z2" s="9" t="n"/>
    </row>
    <row r="3">
      <c r="A3" s="9" t="inlineStr">
        <is>
          <t>W-ACQ7-002</t>
        </is>
      </c>
      <c r="B3" s="9" t="inlineStr">
        <is>
          <t>ACQ7</t>
        </is>
      </c>
      <c r="C3" s="9" t="inlineStr">
        <is>
          <t>GND_IN</t>
        </is>
      </c>
      <c r="D3" s="9" t="inlineStr">
        <is>
          <t>ACQUISITION 7 J1</t>
        </is>
      </c>
      <c r="E3" s="9" t="inlineStr">
        <is>
          <t>2</t>
        </is>
      </c>
      <c r="F3" s="9" t="inlineStr">
        <is>
          <t>GROUND POINT</t>
        </is>
      </c>
      <c r="G3" s="9" t="inlineStr">
        <is>
          <t>GND</t>
        </is>
      </c>
      <c r="H3" s="9" t="inlineStr">
        <is>
          <t>BK</t>
        </is>
      </c>
      <c r="I3" s="10" t="n"/>
      <c r="J3" s="11">
        <f>IF(I3="","",IFERROR(INDEX(Lists!$F$3:$F$17,MATCH(I3,Lists!$E$3:$E$17,0)),"?"))</f>
        <v/>
      </c>
      <c r="K3" s="9" t="inlineStr">
        <is>
          <t>N</t>
        </is>
      </c>
      <c r="L3" s="9" t="inlineStr">
        <is>
          <t>0V</t>
        </is>
      </c>
      <c r="M3" s="10" t="n"/>
      <c r="N3" s="11">
        <f>IF(D3="","",IFERROR(INDEX(Connectors!$J$2:$J$1000,MATCH(D3,Connectors!$A$2:$A$1000,0))&amp;"",""))</f>
        <v/>
      </c>
      <c r="O3" s="11">
        <f>IF(F3="","",IFERROR(INDEX(Connectors!$J$2:$J$1000,MATCH(F3,Connectors!$A$2:$A$1000,0))&amp;"",""))</f>
        <v/>
      </c>
      <c r="P3" s="9" t="n"/>
      <c r="Q3" s="9" t="n"/>
      <c r="R3" s="10" t="n"/>
      <c r="S3" s="9" t="inlineStr">
        <is>
          <t>Ground Supply</t>
        </is>
      </c>
      <c r="T3" s="9" t="inlineStr">
        <is>
          <t>1 ponta (folha Acquisition Board 7)</t>
        </is>
      </c>
      <c r="U3" s="9" t="n"/>
      <c r="V3" s="11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1">
        <f>IF(D3="","",D3&amp;":"&amp;E3&amp;IF(EXACT(E3,UPPER(E3)),"","|lc"))</f>
        <v/>
      </c>
      <c r="X3" s="11">
        <f>IF(F3="","",F3&amp;":"&amp;G3&amp;IF(EXACT(G3,UPPER(G3)),"","|lc"))</f>
        <v/>
      </c>
      <c r="Y3" s="9" t="n"/>
      <c r="Z3" s="9" t="n"/>
    </row>
    <row r="4">
      <c r="A4" s="12" t="inlineStr">
        <is>
          <t>W-ACQ7-003</t>
        </is>
      </c>
      <c r="B4" s="9" t="inlineStr">
        <is>
          <t>ACQ7</t>
        </is>
      </c>
      <c r="C4" s="9" t="inlineStr">
        <is>
          <t>CAN_AUT_L</t>
        </is>
      </c>
      <c r="D4" s="9" t="inlineStr">
        <is>
          <t>ACQUISITION 7 J1</t>
        </is>
      </c>
      <c r="E4" s="9" t="inlineStr">
        <is>
          <t>3</t>
        </is>
      </c>
      <c r="F4" s="9" t="inlineStr">
        <is>
          <t>AUT CAN BUS NODE</t>
        </is>
      </c>
      <c r="G4" s="9" t="inlineStr">
        <is>
          <t>?1</t>
        </is>
      </c>
      <c r="H4" s="9" t="inlineStr">
        <is>
          <t>BU</t>
        </is>
      </c>
      <c r="I4" s="10" t="n"/>
      <c r="J4" s="11">
        <f>IF(I4="","",IFERROR(INDEX(Lists!$F$3:$F$17,MATCH(I4,Lists!$E$3:$E$17,0)),"?"))</f>
        <v/>
      </c>
      <c r="K4" s="9" t="inlineStr">
        <is>
          <t>N</t>
        </is>
      </c>
      <c r="L4" s="9" t="inlineStr">
        <is>
          <t>5V</t>
        </is>
      </c>
      <c r="M4" s="10" t="n"/>
      <c r="N4" s="11">
        <f>IF(D4="","",IFERROR(INDEX(Connectors!$J$2:$J$1000,MATCH(D4,Connectors!$A$2:$A$1000,0))&amp;"",""))</f>
        <v/>
      </c>
      <c r="O4" s="11">
        <f>IF(F4="","",IFERROR(INDEX(Connectors!$J$2:$J$1000,MATCH(F4,Connectors!$A$2:$A$1000,0))&amp;"",""))</f>
        <v/>
      </c>
      <c r="P4" s="9" t="n"/>
      <c r="Q4" s="9" t="n"/>
      <c r="R4" s="10" t="n"/>
      <c r="S4" s="9" t="inlineStr">
        <is>
          <t>Autonomous CAN Bus Low</t>
        </is>
      </c>
      <c r="T4" s="9" t="inlineStr">
        <is>
          <t>1 ponta (folha Acquisition Board 7)</t>
        </is>
      </c>
      <c r="U4" s="12" t="inlineStr">
        <is>
          <t>I-01</t>
        </is>
      </c>
      <c r="V4" s="11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1">
        <f>IF(D4="","",D4&amp;":"&amp;E4&amp;IF(EXACT(E4,UPPER(E4)),"","|lc"))</f>
        <v/>
      </c>
      <c r="X4" s="11">
        <f>IF(F4="","",F4&amp;":"&amp;G4&amp;IF(EXACT(G4,UPPER(G4)),"","|lc"))</f>
        <v/>
      </c>
      <c r="Y4" s="9" t="n"/>
      <c r="Z4" s="9" t="n"/>
    </row>
    <row r="5">
      <c r="A5" s="12" t="inlineStr">
        <is>
          <t>W-ACQ7-004</t>
        </is>
      </c>
      <c r="B5" s="9" t="inlineStr">
        <is>
          <t>ACQ7</t>
        </is>
      </c>
      <c r="C5" s="9" t="inlineStr">
        <is>
          <t>CAN_DATA_L</t>
        </is>
      </c>
      <c r="D5" s="9" t="inlineStr">
        <is>
          <t>ACQUISITION 7 J1</t>
        </is>
      </c>
      <c r="E5" s="9" t="inlineStr">
        <is>
          <t>4</t>
        </is>
      </c>
      <c r="F5" s="9" t="inlineStr">
        <is>
          <t>DATA CAN BUS NODE</t>
        </is>
      </c>
      <c r="G5" s="9" t="inlineStr">
        <is>
          <t>?1</t>
        </is>
      </c>
      <c r="H5" s="9" t="inlineStr">
        <is>
          <t>GN</t>
        </is>
      </c>
      <c r="I5" s="10" t="n"/>
      <c r="J5" s="11">
        <f>IF(I5="","",IFERROR(INDEX(Lists!$F$3:$F$17,MATCH(I5,Lists!$E$3:$E$17,0)),"?"))</f>
        <v/>
      </c>
      <c r="K5" s="9" t="inlineStr">
        <is>
          <t>N</t>
        </is>
      </c>
      <c r="L5" s="9" t="inlineStr">
        <is>
          <t>5V</t>
        </is>
      </c>
      <c r="M5" s="10" t="n"/>
      <c r="N5" s="11">
        <f>IF(D5="","",IFERROR(INDEX(Connectors!$J$2:$J$1000,MATCH(D5,Connectors!$A$2:$A$1000,0))&amp;"",""))</f>
        <v/>
      </c>
      <c r="O5" s="11">
        <f>IF(F5="","",IFERROR(INDEX(Connectors!$J$2:$J$1000,MATCH(F5,Connectors!$A$2:$A$1000,0))&amp;"",""))</f>
        <v/>
      </c>
      <c r="P5" s="9" t="n"/>
      <c r="Q5" s="9" t="n"/>
      <c r="R5" s="10" t="n"/>
      <c r="S5" s="9" t="inlineStr">
        <is>
          <t>Data CAN Bus Low</t>
        </is>
      </c>
      <c r="T5" s="9" t="inlineStr">
        <is>
          <t>1 ponta (folha Acquisition Board 7)</t>
        </is>
      </c>
      <c r="U5" s="12" t="inlineStr">
        <is>
          <t>I-01</t>
        </is>
      </c>
      <c r="V5" s="11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1">
        <f>IF(D5="","",D5&amp;":"&amp;E5&amp;IF(EXACT(E5,UPPER(E5)),"","|lc"))</f>
        <v/>
      </c>
      <c r="X5" s="11">
        <f>IF(F5="","",F5&amp;":"&amp;G5&amp;IF(EXACT(G5,UPPER(G5)),"","|lc"))</f>
        <v/>
      </c>
      <c r="Y5" s="9" t="n"/>
      <c r="Z5" s="9" t="n"/>
    </row>
    <row r="6">
      <c r="A6" s="12" t="inlineStr">
        <is>
          <t>W-ACQ7-005</t>
        </is>
      </c>
      <c r="B6" s="9" t="inlineStr">
        <is>
          <t>ACQ7</t>
        </is>
      </c>
      <c r="C6" s="9" t="inlineStr">
        <is>
          <t>CAN_AUT_H</t>
        </is>
      </c>
      <c r="D6" s="9" t="inlineStr">
        <is>
          <t>ACQUISITION 7 J1</t>
        </is>
      </c>
      <c r="E6" s="9" t="inlineStr">
        <is>
          <t>5</t>
        </is>
      </c>
      <c r="F6" s="9" t="inlineStr">
        <is>
          <t>AUT CAN BUS NODE</t>
        </is>
      </c>
      <c r="G6" s="9" t="inlineStr">
        <is>
          <t>?2</t>
        </is>
      </c>
      <c r="H6" s="9" t="inlineStr">
        <is>
          <t>BU/WH</t>
        </is>
      </c>
      <c r="I6" s="10" t="n"/>
      <c r="J6" s="11">
        <f>IF(I6="","",IFERROR(INDEX(Lists!$F$3:$F$17,MATCH(I6,Lists!$E$3:$E$17,0)),"?"))</f>
        <v/>
      </c>
      <c r="K6" s="9" t="inlineStr">
        <is>
          <t>N</t>
        </is>
      </c>
      <c r="L6" s="9" t="inlineStr">
        <is>
          <t>5V</t>
        </is>
      </c>
      <c r="M6" s="10" t="n"/>
      <c r="N6" s="11">
        <f>IF(D6="","",IFERROR(INDEX(Connectors!$J$2:$J$1000,MATCH(D6,Connectors!$A$2:$A$1000,0))&amp;"",""))</f>
        <v/>
      </c>
      <c r="O6" s="11">
        <f>IF(F6="","",IFERROR(INDEX(Connectors!$J$2:$J$1000,MATCH(F6,Connectors!$A$2:$A$1000,0))&amp;"",""))</f>
        <v/>
      </c>
      <c r="P6" s="9" t="n"/>
      <c r="Q6" s="9" t="n"/>
      <c r="R6" s="10" t="n"/>
      <c r="S6" s="9" t="inlineStr">
        <is>
          <t>Autonomous CAN Bus High</t>
        </is>
      </c>
      <c r="T6" s="9" t="inlineStr">
        <is>
          <t>1 ponta (folha Acquisition Board 7)</t>
        </is>
      </c>
      <c r="U6" s="12" t="inlineStr">
        <is>
          <t>I-01</t>
        </is>
      </c>
      <c r="V6" s="11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1">
        <f>IF(D6="","",D6&amp;":"&amp;E6&amp;IF(EXACT(E6,UPPER(E6)),"","|lc"))</f>
        <v/>
      </c>
      <c r="X6" s="11">
        <f>IF(F6="","",F6&amp;":"&amp;G6&amp;IF(EXACT(G6,UPPER(G6)),"","|lc"))</f>
        <v/>
      </c>
      <c r="Y6" s="9" t="n"/>
      <c r="Z6" s="9" t="n"/>
    </row>
    <row r="7">
      <c r="A7" s="12" t="inlineStr">
        <is>
          <t>W-ACQ7-006</t>
        </is>
      </c>
      <c r="B7" s="9" t="inlineStr">
        <is>
          <t>ACQ7</t>
        </is>
      </c>
      <c r="C7" s="9" t="inlineStr">
        <is>
          <t>CAN_DATA_H</t>
        </is>
      </c>
      <c r="D7" s="9" t="inlineStr">
        <is>
          <t>ACQUISITION 7 J1</t>
        </is>
      </c>
      <c r="E7" s="9" t="inlineStr">
        <is>
          <t>6</t>
        </is>
      </c>
      <c r="F7" s="9" t="inlineStr">
        <is>
          <t>DATA CAN BUS NODE</t>
        </is>
      </c>
      <c r="G7" s="9" t="inlineStr">
        <is>
          <t>?2</t>
        </is>
      </c>
      <c r="H7" s="9" t="inlineStr">
        <is>
          <t>GY</t>
        </is>
      </c>
      <c r="I7" s="10" t="n"/>
      <c r="J7" s="11">
        <f>IF(I7="","",IFERROR(INDEX(Lists!$F$3:$F$17,MATCH(I7,Lists!$E$3:$E$17,0)),"?"))</f>
        <v/>
      </c>
      <c r="K7" s="9" t="inlineStr">
        <is>
          <t>N</t>
        </is>
      </c>
      <c r="L7" s="9" t="inlineStr">
        <is>
          <t>5V</t>
        </is>
      </c>
      <c r="M7" s="10" t="n"/>
      <c r="N7" s="11">
        <f>IF(D7="","",IFERROR(INDEX(Connectors!$J$2:$J$1000,MATCH(D7,Connectors!$A$2:$A$1000,0))&amp;"",""))</f>
        <v/>
      </c>
      <c r="O7" s="11">
        <f>IF(F7="","",IFERROR(INDEX(Connectors!$J$2:$J$1000,MATCH(F7,Connectors!$A$2:$A$1000,0))&amp;"",""))</f>
        <v/>
      </c>
      <c r="P7" s="9" t="n"/>
      <c r="Q7" s="9" t="n"/>
      <c r="R7" s="10" t="n"/>
      <c r="S7" s="9" t="inlineStr">
        <is>
          <t>Data CAN Bus High</t>
        </is>
      </c>
      <c r="T7" s="9" t="inlineStr">
        <is>
          <t>1 ponta (folha Acquisition Board 7)</t>
        </is>
      </c>
      <c r="U7" s="12" t="inlineStr">
        <is>
          <t>I-01</t>
        </is>
      </c>
      <c r="V7" s="11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1">
        <f>IF(D7="","",D7&amp;":"&amp;E7&amp;IF(EXACT(E7,UPPER(E7)),"","|lc"))</f>
        <v/>
      </c>
      <c r="X7" s="11">
        <f>IF(F7="","",F7&amp;":"&amp;G7&amp;IF(EXACT(G7,UPPER(G7)),"","|lc"))</f>
        <v/>
      </c>
      <c r="Y7" s="9" t="n"/>
      <c r="Z7" s="9" t="n"/>
    </row>
  </sheetData>
  <autoFilter ref="A1:Z7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ACQUISITION 7 J1</t>
        </is>
      </c>
      <c r="B2" s="9" t="inlineStr">
        <is>
          <t>ACQUISITION</t>
        </is>
      </c>
      <c r="C2" s="9" t="inlineStr">
        <is>
          <t>ACQ7</t>
        </is>
      </c>
      <c r="D2" s="9" t="inlineStr">
        <is>
          <t>CONNECTOR</t>
        </is>
      </c>
      <c r="E2" s="11">
        <f>COUNTIF(Pins!$A$2:$A$1000,A2)</f>
        <v/>
      </c>
      <c r="F2" s="10" t="n"/>
      <c r="G2" s="10" t="n"/>
      <c r="H2" s="9" t="n"/>
      <c r="I2" s="9" t="n"/>
      <c r="J2" s="9" t="n"/>
      <c r="K2" s="9" t="n"/>
      <c r="L2" s="9" t="n"/>
      <c r="M2" s="10" t="n"/>
      <c r="N2" s="10" t="n"/>
      <c r="O2" s="10" t="n"/>
      <c r="P2" s="11">
        <f>IF(COUNTIF(Segments!$B$2:$C$1000,A2)&gt;0,"Y","N")</f>
        <v/>
      </c>
      <c r="Q2" s="11">
        <f>COUNTIF(Wires!$D$2:$D$1000,A2)+COUNTIF(Wires!$F$2:$F$1000,A2)</f>
        <v/>
      </c>
      <c r="R2" s="11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n"/>
      <c r="T2" s="10" t="n"/>
    </row>
    <row r="3">
      <c r="A3" s="9" t="inlineStr">
        <is>
          <t>ACQUISITION 7 J2</t>
        </is>
      </c>
      <c r="B3" s="9" t="inlineStr">
        <is>
          <t>ACQUISITION</t>
        </is>
      </c>
      <c r="C3" s="9" t="inlineStr">
        <is>
          <t>ACQ7</t>
        </is>
      </c>
      <c r="D3" s="9" t="inlineStr">
        <is>
          <t>CONNECTOR</t>
        </is>
      </c>
      <c r="E3" s="11">
        <f>COUNTIF(Pins!$A$2:$A$1000,A3)</f>
        <v/>
      </c>
      <c r="F3" s="10" t="n"/>
      <c r="G3" s="10" t="n"/>
      <c r="H3" s="9" t="n"/>
      <c r="I3" s="9" t="n"/>
      <c r="J3" s="9" t="n"/>
      <c r="K3" s="9" t="n"/>
      <c r="L3" s="9" t="n"/>
      <c r="M3" s="10" t="n"/>
      <c r="N3" s="10" t="n"/>
      <c r="O3" s="10" t="n"/>
      <c r="P3" s="11">
        <f>IF(COUNTIF(Segments!$B$2:$C$1000,A3)&gt;0,"Y","N")</f>
        <v/>
      </c>
      <c r="Q3" s="11">
        <f>COUNTIF(Wires!$D$2:$D$1000,A3)+COUNTIF(Wires!$F$2:$F$1000,A3)</f>
        <v/>
      </c>
      <c r="R3" s="11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n"/>
      <c r="T3" s="10" t="n"/>
    </row>
    <row r="4">
      <c r="A4" s="9" t="inlineStr">
        <is>
          <t>ACQUISITION 7 J3</t>
        </is>
      </c>
      <c r="B4" s="9" t="inlineStr">
        <is>
          <t>ACQUISITION</t>
        </is>
      </c>
      <c r="C4" s="9" t="inlineStr">
        <is>
          <t>ACQ7</t>
        </is>
      </c>
      <c r="D4" s="9" t="inlineStr">
        <is>
          <t>CONNECTOR</t>
        </is>
      </c>
      <c r="E4" s="11">
        <f>COUNTIF(Pins!$A$2:$A$1000,A4)</f>
        <v/>
      </c>
      <c r="F4" s="10" t="n"/>
      <c r="G4" s="10" t="n"/>
      <c r="H4" s="9" t="n"/>
      <c r="I4" s="9" t="n"/>
      <c r="J4" s="9" t="n"/>
      <c r="K4" s="9" t="n"/>
      <c r="L4" s="9" t="n"/>
      <c r="M4" s="10" t="n"/>
      <c r="N4" s="10" t="n"/>
      <c r="O4" s="10" t="n"/>
      <c r="P4" s="11">
        <f>IF(COUNTIF(Segments!$B$2:$C$1000,A4)&gt;0,"Y","N")</f>
        <v/>
      </c>
      <c r="Q4" s="11">
        <f>COUNTIF(Wires!$D$2:$D$1000,A4)+COUNTIF(Wires!$F$2:$F$1000,A4)</f>
        <v/>
      </c>
      <c r="R4" s="11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n"/>
      <c r="T4" s="10" t="n"/>
    </row>
    <row r="5">
      <c r="A5" s="9" t="inlineStr">
        <is>
          <t>PDM J1</t>
        </is>
      </c>
      <c r="B5" s="9" t="inlineStr">
        <is>
          <t>PDM</t>
        </is>
      </c>
      <c r="C5" s="9" t="inlineStr">
        <is>
          <t>ACQ7</t>
        </is>
      </c>
      <c r="D5" s="9" t="inlineStr">
        <is>
          <t>CONNECTOR</t>
        </is>
      </c>
      <c r="E5" s="11">
        <f>COUNTIF(Pins!$A$2:$A$1000,A5)</f>
        <v/>
      </c>
      <c r="F5" s="10" t="n"/>
      <c r="G5" s="10" t="n"/>
      <c r="H5" s="9" t="n"/>
      <c r="I5" s="9" t="n"/>
      <c r="J5" s="9" t="n"/>
      <c r="K5" s="9" t="n"/>
      <c r="L5" s="9" t="n"/>
      <c r="M5" s="10" t="n"/>
      <c r="N5" s="10" t="n"/>
      <c r="O5" s="10" t="n"/>
      <c r="P5" s="11">
        <f>IF(COUNTIF(Segments!$B$2:$C$1000,A5)&gt;0,"Y","N")</f>
        <v/>
      </c>
      <c r="Q5" s="11">
        <f>COUNTIF(Wires!$D$2:$D$1000,A5)+COUNTIF(Wires!$F$2:$F$1000,A5)</f>
        <v/>
      </c>
      <c r="R5" s="11">
        <f>IF(A5="","",IF(D5="SPLICE","",IF(P5="N","fora da topologia; ","")&amp;IF(G5="","sem P/N; ","")&amp;IF(AND(G5&lt;&gt;"",COUNTIF(Parts!$A$2:$A$1000,G5)=0),"P/N não está em Parts; ","")&amp;IF(M5="","sem xyz; ","")))</f>
        <v/>
      </c>
      <c r="S5" s="9" t="inlineStr">
        <is>
          <t>Sem folha própria — criado a partir dos destinos.</t>
        </is>
      </c>
      <c r="T5" s="10" t="n"/>
    </row>
    <row r="6">
      <c r="A6" s="9" t="inlineStr">
        <is>
          <t>GROUND POINT</t>
        </is>
      </c>
      <c r="B6" s="9" t="inlineStr">
        <is>
          <t>GROUND</t>
        </is>
      </c>
      <c r="C6" s="9" t="inlineStr">
        <is>
          <t>ACQ7</t>
        </is>
      </c>
      <c r="D6" s="9" t="inlineStr">
        <is>
          <t>STUD</t>
        </is>
      </c>
      <c r="E6" s="11">
        <f>COUNTIF(Pins!$A$2:$A$1000,A6)</f>
        <v/>
      </c>
      <c r="F6" s="10" t="n"/>
      <c r="G6" s="10" t="n"/>
      <c r="H6" s="9" t="n"/>
      <c r="I6" s="9" t="n"/>
      <c r="J6" s="9" t="n"/>
      <c r="K6" s="9" t="n"/>
      <c r="L6" s="9" t="n"/>
      <c r="M6" s="10" t="n"/>
      <c r="N6" s="10" t="n"/>
      <c r="O6" s="10" t="n"/>
      <c r="P6" s="11">
        <f>IF(COUNTIF(Segments!$B$2:$C$1000,A6)&gt;0,"Y","N")</f>
        <v/>
      </c>
      <c r="Q6" s="11">
        <f>COUNTIF(Wires!$D$2:$D$1000,A6)+COUNTIF(Wires!$F$2:$F$1000,A6)</f>
        <v/>
      </c>
      <c r="R6" s="11">
        <f>IF(A6="","",IF(D6="SPLICE","",IF(P6="N","fora da topologia; ","")&amp;IF(G6="","sem P/N; ","")&amp;IF(AND(G6&lt;&gt;"",COUNTIF(Parts!$A$2:$A$1000,G6)=0),"P/N não está em Parts; ","")&amp;IF(M6="","sem xyz; ","")))</f>
        <v/>
      </c>
      <c r="S6" s="9" t="inlineStr">
        <is>
          <t>Sem folha própria — criado a partir dos destinos.</t>
        </is>
      </c>
      <c r="T6" s="9" t="n"/>
    </row>
    <row r="7">
      <c r="A7" s="9" t="inlineStr">
        <is>
          <t>AUT CAN BUS NODE</t>
        </is>
      </c>
      <c r="B7" s="9" t="inlineStr">
        <is>
          <t>AUT</t>
        </is>
      </c>
      <c r="C7" s="9" t="inlineStr">
        <is>
          <t>ACQ7</t>
        </is>
      </c>
      <c r="D7" s="9" t="inlineStr">
        <is>
          <t>CONNECTOR</t>
        </is>
      </c>
      <c r="E7" s="11">
        <f>COUNTIF(Pins!$A$2:$A$1000,A7)</f>
        <v/>
      </c>
      <c r="F7" s="10" t="n"/>
      <c r="G7" s="10" t="n"/>
      <c r="H7" s="9" t="n"/>
      <c r="I7" s="9" t="n"/>
      <c r="J7" s="9" t="n"/>
      <c r="K7" s="9" t="n"/>
      <c r="L7" s="9" t="n"/>
      <c r="M7" s="10" t="n"/>
      <c r="N7" s="10" t="n"/>
      <c r="O7" s="10" t="n"/>
      <c r="P7" s="11">
        <f>IF(COUNTIF(Segments!$B$2:$C$1000,A7)&gt;0,"Y","N")</f>
        <v/>
      </c>
      <c r="Q7" s="11">
        <f>COUNTIF(Wires!$D$2:$D$1000,A7)+COUNTIF(Wires!$F$2:$F$1000,A7)</f>
        <v/>
      </c>
      <c r="R7" s="11">
        <f>IF(A7="","",IF(D7="SPLICE","",IF(P7="N","fora da topologia; ","")&amp;IF(G7="","sem P/N; ","")&amp;IF(AND(G7&lt;&gt;"",COUNTIF(Parts!$A$2:$A$1000,G7)=0),"P/N não está em Parts; ","")&amp;IF(M7="","sem xyz; ","")))</f>
        <v/>
      </c>
      <c r="S7" s="9" t="inlineStr">
        <is>
          <t>Sem folha própria — criado a partir dos destinos.</t>
        </is>
      </c>
      <c r="T7" s="10" t="n"/>
    </row>
    <row r="8">
      <c r="A8" s="9" t="inlineStr">
        <is>
          <t>DATA CAN BUS NODE</t>
        </is>
      </c>
      <c r="B8" s="9" t="inlineStr">
        <is>
          <t>DATA</t>
        </is>
      </c>
      <c r="C8" s="9" t="inlineStr">
        <is>
          <t>ACQ7</t>
        </is>
      </c>
      <c r="D8" s="9" t="inlineStr">
        <is>
          <t>CONNECTOR</t>
        </is>
      </c>
      <c r="E8" s="11">
        <f>COUNTIF(Pins!$A$2:$A$1000,A8)</f>
        <v/>
      </c>
      <c r="F8" s="10" t="n"/>
      <c r="G8" s="10" t="n"/>
      <c r="H8" s="9" t="n"/>
      <c r="I8" s="9" t="n"/>
      <c r="J8" s="9" t="n"/>
      <c r="K8" s="9" t="n"/>
      <c r="L8" s="9" t="n"/>
      <c r="M8" s="10" t="n"/>
      <c r="N8" s="10" t="n"/>
      <c r="O8" s="10" t="n"/>
      <c r="P8" s="11">
        <f>IF(COUNTIF(Segments!$B$2:$C$1000,A8)&gt;0,"Y","N")</f>
        <v/>
      </c>
      <c r="Q8" s="11">
        <f>COUNTIF(Wires!$D$2:$D$1000,A8)+COUNTIF(Wires!$F$2:$F$1000,A8)</f>
        <v/>
      </c>
      <c r="R8" s="11">
        <f>IF(A8="","",IF(D8="SPLICE","",IF(P8="N","fora da topologia; ","")&amp;IF(G8="","sem P/N; ","")&amp;IF(AND(G8&lt;&gt;"",COUNTIF(Parts!$A$2:$A$1000,G8)=0),"P/N não está em Parts; ","")&amp;IF(M8="","sem xyz; ","")))</f>
        <v/>
      </c>
      <c r="S8" s="9" t="inlineStr">
        <is>
          <t>Sem folha própria — criado a partir dos destinos.</t>
        </is>
      </c>
      <c r="T8" s="10" t="n"/>
    </row>
  </sheetData>
  <autoFilter ref="A1:T8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ACQUISITION 7 J1</t>
        </is>
      </c>
      <c r="B2" s="9" t="inlineStr">
        <is>
          <t>1</t>
        </is>
      </c>
      <c r="C2" s="9" t="inlineStr">
        <is>
          <t>24V In</t>
        </is>
      </c>
      <c r="D2" s="9" t="inlineStr">
        <is>
          <t>IN</t>
        </is>
      </c>
      <c r="E2" s="9" t="inlineStr">
        <is>
          <t>24V</t>
        </is>
      </c>
      <c r="F2" s="11">
        <f>IF(N2="","",INDEX(Wires!$A$2:$A$1000,N2))</f>
        <v/>
      </c>
      <c r="G2" s="11">
        <f>IF(N2="","",INDEX(Wires!$C$2:$C$1000,N2))</f>
        <v/>
      </c>
      <c r="H2" s="11">
        <f>IF(N2="","",IF(O2="from",INDEX(Wires!$F$2:$F$1000,N2)&amp;":"&amp;INDEX(Wires!$G$2:$G$1000,N2),INDEX(Wires!$D$2:$D$1000,N2)&amp;":"&amp;INDEX(Wires!$E$2:$E$1000,N2)))</f>
        <v/>
      </c>
      <c r="I2" s="11">
        <f>IF(N2="","",INDEX(Wires!$H$2:$H$1000,N2)&amp;"")</f>
        <v/>
      </c>
      <c r="J2" s="11">
        <f>IF(N2="","",IF(INDEX(Wires!$I$2:$I$1000,N2)="","",INDEX(Wires!$I$2:$I$1000,N2)))</f>
        <v/>
      </c>
      <c r="K2" s="11">
        <f>COUNTIF(Wires!$W$2:$W$1000,M2)+COUNTIF(Wires!$X$2:$X$1000,M2)</f>
        <v/>
      </c>
      <c r="L2" s="11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1">
        <f>A2&amp;":"&amp;B2&amp;IF(EXACT(B2,UPPER(B2)),"","|lc")</f>
        <v/>
      </c>
      <c r="N2" s="11">
        <f>IFERROR(MATCH(M2,Wires!$W$2:$W$1000,0),IFERROR(MATCH(M2,Wires!$X$2:$X$1000,0),""))</f>
        <v/>
      </c>
      <c r="O2" s="11">
        <f>IF(N2="","",IF(ISNUMBER(MATCH(M2,Wires!$W$2:$W$1000,0)),"from","to"))</f>
        <v/>
      </c>
    </row>
    <row r="3">
      <c r="A3" s="9" t="inlineStr">
        <is>
          <t>ACQUISITION 7 J1</t>
        </is>
      </c>
      <c r="B3" s="9" t="inlineStr">
        <is>
          <t>2</t>
        </is>
      </c>
      <c r="C3" s="9" t="inlineStr">
        <is>
          <t>GND In</t>
        </is>
      </c>
      <c r="D3" s="9" t="inlineStr">
        <is>
          <t>IN</t>
        </is>
      </c>
      <c r="E3" s="9" t="inlineStr">
        <is>
          <t>0V</t>
        </is>
      </c>
      <c r="F3" s="11">
        <f>IF(N3="","",INDEX(Wires!$A$2:$A$1000,N3))</f>
        <v/>
      </c>
      <c r="G3" s="11">
        <f>IF(N3="","",INDEX(Wires!$C$2:$C$1000,N3))</f>
        <v/>
      </c>
      <c r="H3" s="11">
        <f>IF(N3="","",IF(O3="from",INDEX(Wires!$F$2:$F$1000,N3)&amp;":"&amp;INDEX(Wires!$G$2:$G$1000,N3),INDEX(Wires!$D$2:$D$1000,N3)&amp;":"&amp;INDEX(Wires!$E$2:$E$1000,N3)))</f>
        <v/>
      </c>
      <c r="I3" s="11">
        <f>IF(N3="","",INDEX(Wires!$H$2:$H$1000,N3)&amp;"")</f>
        <v/>
      </c>
      <c r="J3" s="11">
        <f>IF(N3="","",IF(INDEX(Wires!$I$2:$I$1000,N3)="","",INDEX(Wires!$I$2:$I$1000,N3)))</f>
        <v/>
      </c>
      <c r="K3" s="11">
        <f>COUNTIF(Wires!$W$2:$W$1000,M3)+COUNTIF(Wires!$X$2:$X$1000,M3)</f>
        <v/>
      </c>
      <c r="L3" s="11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1">
        <f>A3&amp;":"&amp;B3&amp;IF(EXACT(B3,UPPER(B3)),"","|lc")</f>
        <v/>
      </c>
      <c r="N3" s="11">
        <f>IFERROR(MATCH(M3,Wires!$W$2:$W$1000,0),IFERROR(MATCH(M3,Wires!$X$2:$X$1000,0),""))</f>
        <v/>
      </c>
      <c r="O3" s="11">
        <f>IF(N3="","",IF(ISNUMBER(MATCH(M3,Wires!$W$2:$W$1000,0)),"from","to"))</f>
        <v/>
      </c>
    </row>
    <row r="4">
      <c r="A4" s="9" t="inlineStr">
        <is>
          <t>ACQUISITION 7 J1</t>
        </is>
      </c>
      <c r="B4" s="9" t="inlineStr">
        <is>
          <t>3</t>
        </is>
      </c>
      <c r="C4" s="9" t="inlineStr">
        <is>
          <t>CAN_AUT_L</t>
        </is>
      </c>
      <c r="D4" s="9" t="inlineStr">
        <is>
          <t>BIDIR</t>
        </is>
      </c>
      <c r="E4" s="9" t="inlineStr">
        <is>
          <t>5V</t>
        </is>
      </c>
      <c r="F4" s="11">
        <f>IF(N4="","",INDEX(Wires!$A$2:$A$1000,N4))</f>
        <v/>
      </c>
      <c r="G4" s="11">
        <f>IF(N4="","",INDEX(Wires!$C$2:$C$1000,N4))</f>
        <v/>
      </c>
      <c r="H4" s="11">
        <f>IF(N4="","",IF(O4="from",INDEX(Wires!$F$2:$F$1000,N4)&amp;":"&amp;INDEX(Wires!$G$2:$G$1000,N4),INDEX(Wires!$D$2:$D$1000,N4)&amp;":"&amp;INDEX(Wires!$E$2:$E$1000,N4)))</f>
        <v/>
      </c>
      <c r="I4" s="11">
        <f>IF(N4="","",INDEX(Wires!$H$2:$H$1000,N4)&amp;"")</f>
        <v/>
      </c>
      <c r="J4" s="11">
        <f>IF(N4="","",IF(INDEX(Wires!$I$2:$I$1000,N4)="","",INDEX(Wires!$I$2:$I$1000,N4)))</f>
        <v/>
      </c>
      <c r="K4" s="11">
        <f>COUNTIF(Wires!$W$2:$W$1000,M4)+COUNTIF(Wires!$X$2:$X$1000,M4)</f>
        <v/>
      </c>
      <c r="L4" s="11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1">
        <f>A4&amp;":"&amp;B4&amp;IF(EXACT(B4,UPPER(B4)),"","|lc")</f>
        <v/>
      </c>
      <c r="N4" s="11">
        <f>IFERROR(MATCH(M4,Wires!$W$2:$W$1000,0),IFERROR(MATCH(M4,Wires!$X$2:$X$1000,0),""))</f>
        <v/>
      </c>
      <c r="O4" s="11">
        <f>IF(N4="","",IF(ISNUMBER(MATCH(M4,Wires!$W$2:$W$1000,0)),"from","to"))</f>
        <v/>
      </c>
    </row>
    <row r="5">
      <c r="A5" s="9" t="inlineStr">
        <is>
          <t>ACQUISITION 7 J1</t>
        </is>
      </c>
      <c r="B5" s="9" t="inlineStr">
        <is>
          <t>4</t>
        </is>
      </c>
      <c r="C5" s="9" t="inlineStr">
        <is>
          <t>CAN_Data_L</t>
        </is>
      </c>
      <c r="D5" s="9" t="inlineStr">
        <is>
          <t>BIDIR</t>
        </is>
      </c>
      <c r="E5" s="9" t="inlineStr">
        <is>
          <t>5V</t>
        </is>
      </c>
      <c r="F5" s="11">
        <f>IF(N5="","",INDEX(Wires!$A$2:$A$1000,N5))</f>
        <v/>
      </c>
      <c r="G5" s="11">
        <f>IF(N5="","",INDEX(Wires!$C$2:$C$1000,N5))</f>
        <v/>
      </c>
      <c r="H5" s="11">
        <f>IF(N5="","",IF(O5="from",INDEX(Wires!$F$2:$F$1000,N5)&amp;":"&amp;INDEX(Wires!$G$2:$G$1000,N5),INDEX(Wires!$D$2:$D$1000,N5)&amp;":"&amp;INDEX(Wires!$E$2:$E$1000,N5)))</f>
        <v/>
      </c>
      <c r="I5" s="11">
        <f>IF(N5="","",INDEX(Wires!$H$2:$H$1000,N5)&amp;"")</f>
        <v/>
      </c>
      <c r="J5" s="11">
        <f>IF(N5="","",IF(INDEX(Wires!$I$2:$I$1000,N5)="","",INDEX(Wires!$I$2:$I$1000,N5)))</f>
        <v/>
      </c>
      <c r="K5" s="11">
        <f>COUNTIF(Wires!$W$2:$W$1000,M5)+COUNTIF(Wires!$X$2:$X$1000,M5)</f>
        <v/>
      </c>
      <c r="L5" s="11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1">
        <f>A5&amp;":"&amp;B5&amp;IF(EXACT(B5,UPPER(B5)),"","|lc")</f>
        <v/>
      </c>
      <c r="N5" s="11">
        <f>IFERROR(MATCH(M5,Wires!$W$2:$W$1000,0),IFERROR(MATCH(M5,Wires!$X$2:$X$1000,0),""))</f>
        <v/>
      </c>
      <c r="O5" s="11">
        <f>IF(N5="","",IF(ISNUMBER(MATCH(M5,Wires!$W$2:$W$1000,0)),"from","to"))</f>
        <v/>
      </c>
    </row>
    <row r="6">
      <c r="A6" s="9" t="inlineStr">
        <is>
          <t>ACQUISITION 7 J1</t>
        </is>
      </c>
      <c r="B6" s="9" t="inlineStr">
        <is>
          <t>5</t>
        </is>
      </c>
      <c r="C6" s="9" t="inlineStr">
        <is>
          <t>CAN_AUT_H</t>
        </is>
      </c>
      <c r="D6" s="9" t="inlineStr">
        <is>
          <t>BIDIR</t>
        </is>
      </c>
      <c r="E6" s="9" t="inlineStr">
        <is>
          <t>5V</t>
        </is>
      </c>
      <c r="F6" s="11">
        <f>IF(N6="","",INDEX(Wires!$A$2:$A$1000,N6))</f>
        <v/>
      </c>
      <c r="G6" s="11">
        <f>IF(N6="","",INDEX(Wires!$C$2:$C$1000,N6))</f>
        <v/>
      </c>
      <c r="H6" s="11">
        <f>IF(N6="","",IF(O6="from",INDEX(Wires!$F$2:$F$1000,N6)&amp;":"&amp;INDEX(Wires!$G$2:$G$1000,N6),INDEX(Wires!$D$2:$D$1000,N6)&amp;":"&amp;INDEX(Wires!$E$2:$E$1000,N6)))</f>
        <v/>
      </c>
      <c r="I6" s="11">
        <f>IF(N6="","",INDEX(Wires!$H$2:$H$1000,N6)&amp;"")</f>
        <v/>
      </c>
      <c r="J6" s="11">
        <f>IF(N6="","",IF(INDEX(Wires!$I$2:$I$1000,N6)="","",INDEX(Wires!$I$2:$I$1000,N6)))</f>
        <v/>
      </c>
      <c r="K6" s="11">
        <f>COUNTIF(Wires!$W$2:$W$1000,M6)+COUNTIF(Wires!$X$2:$X$1000,M6)</f>
        <v/>
      </c>
      <c r="L6" s="11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1">
        <f>A6&amp;":"&amp;B6&amp;IF(EXACT(B6,UPPER(B6)),"","|lc")</f>
        <v/>
      </c>
      <c r="N6" s="11">
        <f>IFERROR(MATCH(M6,Wires!$W$2:$W$1000,0),IFERROR(MATCH(M6,Wires!$X$2:$X$1000,0),""))</f>
        <v/>
      </c>
      <c r="O6" s="11">
        <f>IF(N6="","",IF(ISNUMBER(MATCH(M6,Wires!$W$2:$W$1000,0)),"from","to"))</f>
        <v/>
      </c>
    </row>
    <row r="7">
      <c r="A7" s="9" t="inlineStr">
        <is>
          <t>ACQUISITION 7 J1</t>
        </is>
      </c>
      <c r="B7" s="9" t="inlineStr">
        <is>
          <t>6</t>
        </is>
      </c>
      <c r="C7" s="9" t="inlineStr">
        <is>
          <t>CAN_Data_H</t>
        </is>
      </c>
      <c r="D7" s="9" t="inlineStr">
        <is>
          <t>BIDIR</t>
        </is>
      </c>
      <c r="E7" s="9" t="inlineStr">
        <is>
          <t>5V</t>
        </is>
      </c>
      <c r="F7" s="11">
        <f>IF(N7="","",INDEX(Wires!$A$2:$A$1000,N7))</f>
        <v/>
      </c>
      <c r="G7" s="11">
        <f>IF(N7="","",INDEX(Wires!$C$2:$C$1000,N7))</f>
        <v/>
      </c>
      <c r="H7" s="11">
        <f>IF(N7="","",IF(O7="from",INDEX(Wires!$F$2:$F$1000,N7)&amp;":"&amp;INDEX(Wires!$G$2:$G$1000,N7),INDEX(Wires!$D$2:$D$1000,N7)&amp;":"&amp;INDEX(Wires!$E$2:$E$1000,N7)))</f>
        <v/>
      </c>
      <c r="I7" s="11">
        <f>IF(N7="","",INDEX(Wires!$H$2:$H$1000,N7)&amp;"")</f>
        <v/>
      </c>
      <c r="J7" s="11">
        <f>IF(N7="","",IF(INDEX(Wires!$I$2:$I$1000,N7)="","",INDEX(Wires!$I$2:$I$1000,N7)))</f>
        <v/>
      </c>
      <c r="K7" s="11">
        <f>COUNTIF(Wires!$W$2:$W$1000,M7)+COUNTIF(Wires!$X$2:$X$1000,M7)</f>
        <v/>
      </c>
      <c r="L7" s="11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1">
        <f>A7&amp;":"&amp;B7&amp;IF(EXACT(B7,UPPER(B7)),"","|lc")</f>
        <v/>
      </c>
      <c r="N7" s="11">
        <f>IFERROR(MATCH(M7,Wires!$W$2:$W$1000,0),IFERROR(MATCH(M7,Wires!$X$2:$X$1000,0),""))</f>
        <v/>
      </c>
      <c r="O7" s="11">
        <f>IF(N7="","",IF(ISNUMBER(MATCH(M7,Wires!$W$2:$W$1000,0)),"from","to"))</f>
        <v/>
      </c>
    </row>
    <row r="8">
      <c r="A8" s="9" t="inlineStr">
        <is>
          <t>ACQUISITION 7 J1</t>
        </is>
      </c>
      <c r="B8" s="9" t="inlineStr">
        <is>
          <t>7</t>
        </is>
      </c>
      <c r="C8" s="9" t="n"/>
      <c r="D8" s="9" t="n"/>
      <c r="E8" s="9" t="n"/>
      <c r="F8" s="11">
        <f>IF(N8="","",INDEX(Wires!$A$2:$A$1000,N8))</f>
        <v/>
      </c>
      <c r="G8" s="11">
        <f>IF(N8="","",INDEX(Wires!$C$2:$C$1000,N8))</f>
        <v/>
      </c>
      <c r="H8" s="11">
        <f>IF(N8="","",IF(O8="from",INDEX(Wires!$F$2:$F$1000,N8)&amp;":"&amp;INDEX(Wires!$G$2:$G$1000,N8),INDEX(Wires!$D$2:$D$1000,N8)&amp;":"&amp;INDEX(Wires!$E$2:$E$1000,N8)))</f>
        <v/>
      </c>
      <c r="I8" s="11">
        <f>IF(N8="","",INDEX(Wires!$H$2:$H$1000,N8)&amp;"")</f>
        <v/>
      </c>
      <c r="J8" s="11">
        <f>IF(N8="","",IF(INDEX(Wires!$I$2:$I$1000,N8)="","",INDEX(Wires!$I$2:$I$1000,N8)))</f>
        <v/>
      </c>
      <c r="K8" s="11">
        <f>COUNTIF(Wires!$W$2:$W$1000,M8)+COUNTIF(Wires!$X$2:$X$1000,M8)</f>
        <v/>
      </c>
      <c r="L8" s="11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1">
        <f>A8&amp;":"&amp;B8&amp;IF(EXACT(B8,UPPER(B8)),"","|lc")</f>
        <v/>
      </c>
      <c r="N8" s="11">
        <f>IFERROR(MATCH(M8,Wires!$W$2:$W$1000,0),IFERROR(MATCH(M8,Wires!$X$2:$X$1000,0),""))</f>
        <v/>
      </c>
      <c r="O8" s="11">
        <f>IF(N8="","",IF(ISNUMBER(MATCH(M8,Wires!$W$2:$W$1000,0)),"from","to"))</f>
        <v/>
      </c>
    </row>
    <row r="9">
      <c r="A9" s="9" t="inlineStr">
        <is>
          <t>ACQUISITION 7 J1</t>
        </is>
      </c>
      <c r="B9" s="9" t="inlineStr">
        <is>
          <t>8</t>
        </is>
      </c>
      <c r="C9" s="9" t="n"/>
      <c r="D9" s="9" t="n"/>
      <c r="E9" s="9" t="n"/>
      <c r="F9" s="11">
        <f>IF(N9="","",INDEX(Wires!$A$2:$A$1000,N9))</f>
        <v/>
      </c>
      <c r="G9" s="11">
        <f>IF(N9="","",INDEX(Wires!$C$2:$C$1000,N9))</f>
        <v/>
      </c>
      <c r="H9" s="11">
        <f>IF(N9="","",IF(O9="from",INDEX(Wires!$F$2:$F$1000,N9)&amp;":"&amp;INDEX(Wires!$G$2:$G$1000,N9),INDEX(Wires!$D$2:$D$1000,N9)&amp;":"&amp;INDEX(Wires!$E$2:$E$1000,N9)))</f>
        <v/>
      </c>
      <c r="I9" s="11">
        <f>IF(N9="","",INDEX(Wires!$H$2:$H$1000,N9)&amp;"")</f>
        <v/>
      </c>
      <c r="J9" s="11">
        <f>IF(N9="","",IF(INDEX(Wires!$I$2:$I$1000,N9)="","",INDEX(Wires!$I$2:$I$1000,N9)))</f>
        <v/>
      </c>
      <c r="K9" s="11">
        <f>COUNTIF(Wires!$W$2:$W$1000,M9)+COUNTIF(Wires!$X$2:$X$1000,M9)</f>
        <v/>
      </c>
      <c r="L9" s="11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1">
        <f>A9&amp;":"&amp;B9&amp;IF(EXACT(B9,UPPER(B9)),"","|lc")</f>
        <v/>
      </c>
      <c r="N9" s="11">
        <f>IFERROR(MATCH(M9,Wires!$W$2:$W$1000,0),IFERROR(MATCH(M9,Wires!$X$2:$X$1000,0),""))</f>
        <v/>
      </c>
      <c r="O9" s="11">
        <f>IF(N9="","",IF(ISNUMBER(MATCH(M9,Wires!$W$2:$W$1000,0)),"from","to"))</f>
        <v/>
      </c>
    </row>
    <row r="10">
      <c r="A10" s="9" t="inlineStr">
        <is>
          <t>ACQUISITION 7 J1</t>
        </is>
      </c>
      <c r="B10" s="9" t="inlineStr">
        <is>
          <t>9</t>
        </is>
      </c>
      <c r="C10" s="9" t="n"/>
      <c r="D10" s="9" t="n"/>
      <c r="E10" s="9" t="n"/>
      <c r="F10" s="11">
        <f>IF(N10="","",INDEX(Wires!$A$2:$A$1000,N10))</f>
        <v/>
      </c>
      <c r="G10" s="11">
        <f>IF(N10="","",INDEX(Wires!$C$2:$C$1000,N10))</f>
        <v/>
      </c>
      <c r="H10" s="11">
        <f>IF(N10="","",IF(O10="from",INDEX(Wires!$F$2:$F$1000,N10)&amp;":"&amp;INDEX(Wires!$G$2:$G$1000,N10),INDEX(Wires!$D$2:$D$1000,N10)&amp;":"&amp;INDEX(Wires!$E$2:$E$1000,N10)))</f>
        <v/>
      </c>
      <c r="I10" s="11">
        <f>IF(N10="","",INDEX(Wires!$H$2:$H$1000,N10)&amp;"")</f>
        <v/>
      </c>
      <c r="J10" s="11">
        <f>IF(N10="","",IF(INDEX(Wires!$I$2:$I$1000,N10)="","",INDEX(Wires!$I$2:$I$1000,N10)))</f>
        <v/>
      </c>
      <c r="K10" s="11">
        <f>COUNTIF(Wires!$W$2:$W$1000,M10)+COUNTIF(Wires!$X$2:$X$1000,M10)</f>
        <v/>
      </c>
      <c r="L10" s="11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1">
        <f>A10&amp;":"&amp;B10&amp;IF(EXACT(B10,UPPER(B10)),"","|lc")</f>
        <v/>
      </c>
      <c r="N10" s="11">
        <f>IFERROR(MATCH(M10,Wires!$W$2:$W$1000,0),IFERROR(MATCH(M10,Wires!$X$2:$X$1000,0),""))</f>
        <v/>
      </c>
      <c r="O10" s="11">
        <f>IF(N10="","",IF(ISNUMBER(MATCH(M10,Wires!$W$2:$W$1000,0)),"from","to"))</f>
        <v/>
      </c>
    </row>
    <row r="11">
      <c r="A11" s="9" t="inlineStr">
        <is>
          <t>ACQUISITION 7 J1</t>
        </is>
      </c>
      <c r="B11" s="9" t="inlineStr">
        <is>
          <t>10</t>
        </is>
      </c>
      <c r="C11" s="9" t="n"/>
      <c r="D11" s="9" t="n"/>
      <c r="E11" s="9" t="n"/>
      <c r="F11" s="11">
        <f>IF(N11="","",INDEX(Wires!$A$2:$A$1000,N11))</f>
        <v/>
      </c>
      <c r="G11" s="11">
        <f>IF(N11="","",INDEX(Wires!$C$2:$C$1000,N11))</f>
        <v/>
      </c>
      <c r="H11" s="11">
        <f>IF(N11="","",IF(O11="from",INDEX(Wires!$F$2:$F$1000,N11)&amp;":"&amp;INDEX(Wires!$G$2:$G$1000,N11),INDEX(Wires!$D$2:$D$1000,N11)&amp;":"&amp;INDEX(Wires!$E$2:$E$1000,N11)))</f>
        <v/>
      </c>
      <c r="I11" s="11">
        <f>IF(N11="","",INDEX(Wires!$H$2:$H$1000,N11)&amp;"")</f>
        <v/>
      </c>
      <c r="J11" s="11">
        <f>IF(N11="","",IF(INDEX(Wires!$I$2:$I$1000,N11)="","",INDEX(Wires!$I$2:$I$1000,N11)))</f>
        <v/>
      </c>
      <c r="K11" s="11">
        <f>COUNTIF(Wires!$W$2:$W$1000,M11)+COUNTIF(Wires!$X$2:$X$1000,M11)</f>
        <v/>
      </c>
      <c r="L11" s="11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1">
        <f>A11&amp;":"&amp;B11&amp;IF(EXACT(B11,UPPER(B11)),"","|lc")</f>
        <v/>
      </c>
      <c r="N11" s="11">
        <f>IFERROR(MATCH(M11,Wires!$W$2:$W$1000,0),IFERROR(MATCH(M11,Wires!$X$2:$X$1000,0),""))</f>
        <v/>
      </c>
      <c r="O11" s="11">
        <f>IF(N11="","",IF(ISNUMBER(MATCH(M11,Wires!$W$2:$W$1000,0)),"from","to"))</f>
        <v/>
      </c>
    </row>
    <row r="12">
      <c r="A12" s="9" t="inlineStr">
        <is>
          <t>ACQUISITION 7 J2</t>
        </is>
      </c>
      <c r="B12" s="9" t="inlineStr">
        <is>
          <t>1</t>
        </is>
      </c>
      <c r="C12" s="9" t="inlineStr">
        <is>
          <t>BRK_PRESS</t>
        </is>
      </c>
      <c r="D12" s="9" t="inlineStr">
        <is>
          <t>IN</t>
        </is>
      </c>
      <c r="E12" s="9" t="inlineStr">
        <is>
          <t>Signal</t>
        </is>
      </c>
      <c r="F12" s="11">
        <f>IF(N12="","",INDEX(Wires!$A$2:$A$1000,N12))</f>
        <v/>
      </c>
      <c r="G12" s="11">
        <f>IF(N12="","",INDEX(Wires!$C$2:$C$1000,N12))</f>
        <v/>
      </c>
      <c r="H12" s="11">
        <f>IF(N12="","",IF(O12="from",INDEX(Wires!$F$2:$F$1000,N12)&amp;":"&amp;INDEX(Wires!$G$2:$G$1000,N12),INDEX(Wires!$D$2:$D$1000,N12)&amp;":"&amp;INDEX(Wires!$E$2:$E$1000,N12)))</f>
        <v/>
      </c>
      <c r="I12" s="11">
        <f>IF(N12="","",INDEX(Wires!$H$2:$H$1000,N12)&amp;"")</f>
        <v/>
      </c>
      <c r="J12" s="11">
        <f>IF(N12="","",IF(INDEX(Wires!$I$2:$I$1000,N12)="","",INDEX(Wires!$I$2:$I$1000,N12)))</f>
        <v/>
      </c>
      <c r="K12" s="11">
        <f>COUNTIF(Wires!$W$2:$W$1000,M12)+COUNTIF(Wires!$X$2:$X$1000,M12)</f>
        <v/>
      </c>
      <c r="L12" s="11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1">
        <f>A12&amp;":"&amp;B12&amp;IF(EXACT(B12,UPPER(B12)),"","|lc")</f>
        <v/>
      </c>
      <c r="N12" s="11">
        <f>IFERROR(MATCH(M12,Wires!$W$2:$W$1000,0),IFERROR(MATCH(M12,Wires!$X$2:$X$1000,0),""))</f>
        <v/>
      </c>
      <c r="O12" s="11">
        <f>IF(N12="","",IF(ISNUMBER(MATCH(M12,Wires!$W$2:$W$1000,0)),"from","to"))</f>
        <v/>
      </c>
    </row>
    <row r="13">
      <c r="A13" s="9" t="inlineStr">
        <is>
          <t>ACQUISITION 7 J2</t>
        </is>
      </c>
      <c r="B13" s="9" t="inlineStr">
        <is>
          <t>2</t>
        </is>
      </c>
      <c r="C13" s="9" t="inlineStr">
        <is>
          <t>NTC_Cool_Sig_L</t>
        </is>
      </c>
      <c r="D13" s="9" t="n"/>
      <c r="E13" s="9" t="inlineStr">
        <is>
          <t>Signal</t>
        </is>
      </c>
      <c r="F13" s="11">
        <f>IF(N13="","",INDEX(Wires!$A$2:$A$1000,N13))</f>
        <v/>
      </c>
      <c r="G13" s="11">
        <f>IF(N13="","",INDEX(Wires!$C$2:$C$1000,N13))</f>
        <v/>
      </c>
      <c r="H13" s="11">
        <f>IF(N13="","",IF(O13="from",INDEX(Wires!$F$2:$F$1000,N13)&amp;":"&amp;INDEX(Wires!$G$2:$G$1000,N13),INDEX(Wires!$D$2:$D$1000,N13)&amp;":"&amp;INDEX(Wires!$E$2:$E$1000,N13)))</f>
        <v/>
      </c>
      <c r="I13" s="11">
        <f>IF(N13="","",INDEX(Wires!$H$2:$H$1000,N13)&amp;"")</f>
        <v/>
      </c>
      <c r="J13" s="11">
        <f>IF(N13="","",IF(INDEX(Wires!$I$2:$I$1000,N13)="","",INDEX(Wires!$I$2:$I$1000,N13)))</f>
        <v/>
      </c>
      <c r="K13" s="11">
        <f>COUNTIF(Wires!$W$2:$W$1000,M13)+COUNTIF(Wires!$X$2:$X$1000,M13)</f>
        <v/>
      </c>
      <c r="L13" s="11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1">
        <f>A13&amp;":"&amp;B13&amp;IF(EXACT(B13,UPPER(B13)),"","|lc")</f>
        <v/>
      </c>
      <c r="N13" s="11">
        <f>IFERROR(MATCH(M13,Wires!$W$2:$W$1000,0),IFERROR(MATCH(M13,Wires!$X$2:$X$1000,0),""))</f>
        <v/>
      </c>
      <c r="O13" s="11">
        <f>IF(N13="","",IF(ISNUMBER(MATCH(M13,Wires!$W$2:$W$1000,0)),"from","to"))</f>
        <v/>
      </c>
    </row>
    <row r="14">
      <c r="A14" s="9" t="inlineStr">
        <is>
          <t>ACQUISITION 7 J2</t>
        </is>
      </c>
      <c r="B14" s="9" t="inlineStr">
        <is>
          <t>3</t>
        </is>
      </c>
      <c r="C14" s="9" t="inlineStr">
        <is>
          <t>Susp_Signal_L</t>
        </is>
      </c>
      <c r="D14" s="9" t="n"/>
      <c r="E14" s="9" t="inlineStr">
        <is>
          <t>Signal</t>
        </is>
      </c>
      <c r="F14" s="11">
        <f>IF(N14="","",INDEX(Wires!$A$2:$A$1000,N14))</f>
        <v/>
      </c>
      <c r="G14" s="11">
        <f>IF(N14="","",INDEX(Wires!$C$2:$C$1000,N14))</f>
        <v/>
      </c>
      <c r="H14" s="11">
        <f>IF(N14="","",IF(O14="from",INDEX(Wires!$F$2:$F$1000,N14)&amp;":"&amp;INDEX(Wires!$G$2:$G$1000,N14),INDEX(Wires!$D$2:$D$1000,N14)&amp;":"&amp;INDEX(Wires!$E$2:$E$1000,N14)))</f>
        <v/>
      </c>
      <c r="I14" s="11">
        <f>IF(N14="","",INDEX(Wires!$H$2:$H$1000,N14)&amp;"")</f>
        <v/>
      </c>
      <c r="J14" s="11">
        <f>IF(N14="","",IF(INDEX(Wires!$I$2:$I$1000,N14)="","",INDEX(Wires!$I$2:$I$1000,N14)))</f>
        <v/>
      </c>
      <c r="K14" s="11">
        <f>COUNTIF(Wires!$W$2:$W$1000,M14)+COUNTIF(Wires!$X$2:$X$1000,M14)</f>
        <v/>
      </c>
      <c r="L14" s="11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1">
        <f>A14&amp;":"&amp;B14&amp;IF(EXACT(B14,UPPER(B14)),"","|lc")</f>
        <v/>
      </c>
      <c r="N14" s="11">
        <f>IFERROR(MATCH(M14,Wires!$W$2:$W$1000,0),IFERROR(MATCH(M14,Wires!$X$2:$X$1000,0),""))</f>
        <v/>
      </c>
      <c r="O14" s="11">
        <f>IF(N14="","",IF(ISNUMBER(MATCH(M14,Wires!$W$2:$W$1000,0)),"from","to"))</f>
        <v/>
      </c>
    </row>
    <row r="15">
      <c r="A15" s="9" t="inlineStr">
        <is>
          <t>ACQUISITION 7 J2</t>
        </is>
      </c>
      <c r="B15" s="9" t="inlineStr">
        <is>
          <t>4</t>
        </is>
      </c>
      <c r="C15" s="9" t="inlineStr">
        <is>
          <t>NTC_Cool_Sig_R</t>
        </is>
      </c>
      <c r="D15" s="9" t="n"/>
      <c r="E15" s="9" t="inlineStr">
        <is>
          <t>Signal</t>
        </is>
      </c>
      <c r="F15" s="11">
        <f>IF(N15="","",INDEX(Wires!$A$2:$A$1000,N15))</f>
        <v/>
      </c>
      <c r="G15" s="11">
        <f>IF(N15="","",INDEX(Wires!$C$2:$C$1000,N15))</f>
        <v/>
      </c>
      <c r="H15" s="11">
        <f>IF(N15="","",IF(O15="from",INDEX(Wires!$F$2:$F$1000,N15)&amp;":"&amp;INDEX(Wires!$G$2:$G$1000,N15),INDEX(Wires!$D$2:$D$1000,N15)&amp;":"&amp;INDEX(Wires!$E$2:$E$1000,N15)))</f>
        <v/>
      </c>
      <c r="I15" s="11">
        <f>IF(N15="","",INDEX(Wires!$H$2:$H$1000,N15)&amp;"")</f>
        <v/>
      </c>
      <c r="J15" s="11">
        <f>IF(N15="","",IF(INDEX(Wires!$I$2:$I$1000,N15)="","",INDEX(Wires!$I$2:$I$1000,N15)))</f>
        <v/>
      </c>
      <c r="K15" s="11">
        <f>COUNTIF(Wires!$W$2:$W$1000,M15)+COUNTIF(Wires!$X$2:$X$1000,M15)</f>
        <v/>
      </c>
      <c r="L15" s="11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1">
        <f>A15&amp;":"&amp;B15&amp;IF(EXACT(B15,UPPER(B15)),"","|lc")</f>
        <v/>
      </c>
      <c r="N15" s="11">
        <f>IFERROR(MATCH(M15,Wires!$W$2:$W$1000,0),IFERROR(MATCH(M15,Wires!$X$2:$X$1000,0),""))</f>
        <v/>
      </c>
      <c r="O15" s="11">
        <f>IF(N15="","",IF(ISNUMBER(MATCH(M15,Wires!$W$2:$W$1000,0)),"from","to"))</f>
        <v/>
      </c>
    </row>
    <row r="16">
      <c r="A16" s="9" t="inlineStr">
        <is>
          <t>ACQUISITION 7 J2</t>
        </is>
      </c>
      <c r="B16" s="9" t="inlineStr">
        <is>
          <t>5</t>
        </is>
      </c>
      <c r="C16" s="9" t="inlineStr">
        <is>
          <t>Susp_Signal_R</t>
        </is>
      </c>
      <c r="D16" s="9" t="n"/>
      <c r="E16" s="9" t="inlineStr">
        <is>
          <t>Signal</t>
        </is>
      </c>
      <c r="F16" s="11">
        <f>IF(N16="","",INDEX(Wires!$A$2:$A$1000,N16))</f>
        <v/>
      </c>
      <c r="G16" s="11">
        <f>IF(N16="","",INDEX(Wires!$C$2:$C$1000,N16))</f>
        <v/>
      </c>
      <c r="H16" s="11">
        <f>IF(N16="","",IF(O16="from",INDEX(Wires!$F$2:$F$1000,N16)&amp;":"&amp;INDEX(Wires!$G$2:$G$1000,N16),INDEX(Wires!$D$2:$D$1000,N16)&amp;":"&amp;INDEX(Wires!$E$2:$E$1000,N16)))</f>
        <v/>
      </c>
      <c r="I16" s="11">
        <f>IF(N16="","",INDEX(Wires!$H$2:$H$1000,N16)&amp;"")</f>
        <v/>
      </c>
      <c r="J16" s="11">
        <f>IF(N16="","",IF(INDEX(Wires!$I$2:$I$1000,N16)="","",INDEX(Wires!$I$2:$I$1000,N16)))</f>
        <v/>
      </c>
      <c r="K16" s="11">
        <f>COUNTIF(Wires!$W$2:$W$1000,M16)+COUNTIF(Wires!$X$2:$X$1000,M16)</f>
        <v/>
      </c>
      <c r="L16" s="11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1">
        <f>A16&amp;":"&amp;B16&amp;IF(EXACT(B16,UPPER(B16)),"","|lc")</f>
        <v/>
      </c>
      <c r="N16" s="11">
        <f>IFERROR(MATCH(M16,Wires!$W$2:$W$1000,0),IFERROR(MATCH(M16,Wires!$X$2:$X$1000,0),""))</f>
        <v/>
      </c>
      <c r="O16" s="11">
        <f>IF(N16="","",IF(ISNUMBER(MATCH(M16,Wires!$W$2:$W$1000,0)),"from","to"))</f>
        <v/>
      </c>
    </row>
    <row r="17">
      <c r="A17" s="9" t="inlineStr">
        <is>
          <t>ACQUISITION 7 J2</t>
        </is>
      </c>
      <c r="B17" s="9" t="inlineStr">
        <is>
          <t>6</t>
        </is>
      </c>
      <c r="C17" s="9" t="inlineStr">
        <is>
          <t>NTC_Gear_Sig_L</t>
        </is>
      </c>
      <c r="D17" s="9" t="n"/>
      <c r="E17" s="9" t="inlineStr">
        <is>
          <t>Signal</t>
        </is>
      </c>
      <c r="F17" s="11">
        <f>IF(N17="","",INDEX(Wires!$A$2:$A$1000,N17))</f>
        <v/>
      </c>
      <c r="G17" s="11">
        <f>IF(N17="","",INDEX(Wires!$C$2:$C$1000,N17))</f>
        <v/>
      </c>
      <c r="H17" s="11">
        <f>IF(N17="","",IF(O17="from",INDEX(Wires!$F$2:$F$1000,N17)&amp;":"&amp;INDEX(Wires!$G$2:$G$1000,N17),INDEX(Wires!$D$2:$D$1000,N17)&amp;":"&amp;INDEX(Wires!$E$2:$E$1000,N17)))</f>
        <v/>
      </c>
      <c r="I17" s="11">
        <f>IF(N17="","",INDEX(Wires!$H$2:$H$1000,N17)&amp;"")</f>
        <v/>
      </c>
      <c r="J17" s="11">
        <f>IF(N17="","",IF(INDEX(Wires!$I$2:$I$1000,N17)="","",INDEX(Wires!$I$2:$I$1000,N17)))</f>
        <v/>
      </c>
      <c r="K17" s="11">
        <f>COUNTIF(Wires!$W$2:$W$1000,M17)+COUNTIF(Wires!$X$2:$X$1000,M17)</f>
        <v/>
      </c>
      <c r="L17" s="11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1">
        <f>A17&amp;":"&amp;B17&amp;IF(EXACT(B17,UPPER(B17)),"","|lc")</f>
        <v/>
      </c>
      <c r="N17" s="11">
        <f>IFERROR(MATCH(M17,Wires!$W$2:$W$1000,0),IFERROR(MATCH(M17,Wires!$X$2:$X$1000,0),""))</f>
        <v/>
      </c>
      <c r="O17" s="11">
        <f>IF(N17="","",IF(ISNUMBER(MATCH(M17,Wires!$W$2:$W$1000,0)),"from","to"))</f>
        <v/>
      </c>
    </row>
    <row r="18">
      <c r="A18" s="9" t="inlineStr">
        <is>
          <t>ACQUISITION 7 J2</t>
        </is>
      </c>
      <c r="B18" s="9" t="inlineStr">
        <is>
          <t>7</t>
        </is>
      </c>
      <c r="C18" s="9" t="n"/>
      <c r="D18" s="9" t="n"/>
      <c r="E18" s="9" t="n"/>
      <c r="F18" s="11">
        <f>IF(N18="","",INDEX(Wires!$A$2:$A$1000,N18))</f>
        <v/>
      </c>
      <c r="G18" s="11">
        <f>IF(N18="","",INDEX(Wires!$C$2:$C$1000,N18))</f>
        <v/>
      </c>
      <c r="H18" s="11">
        <f>IF(N18="","",IF(O18="from",INDEX(Wires!$F$2:$F$1000,N18)&amp;":"&amp;INDEX(Wires!$G$2:$G$1000,N18),INDEX(Wires!$D$2:$D$1000,N18)&amp;":"&amp;INDEX(Wires!$E$2:$E$1000,N18)))</f>
        <v/>
      </c>
      <c r="I18" s="11">
        <f>IF(N18="","",INDEX(Wires!$H$2:$H$1000,N18)&amp;"")</f>
        <v/>
      </c>
      <c r="J18" s="11">
        <f>IF(N18="","",IF(INDEX(Wires!$I$2:$I$1000,N18)="","",INDEX(Wires!$I$2:$I$1000,N18)))</f>
        <v/>
      </c>
      <c r="K18" s="11">
        <f>COUNTIF(Wires!$W$2:$W$1000,M18)+COUNTIF(Wires!$X$2:$X$1000,M18)</f>
        <v/>
      </c>
      <c r="L18" s="11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1">
        <f>A18&amp;":"&amp;B18&amp;IF(EXACT(B18,UPPER(B18)),"","|lc")</f>
        <v/>
      </c>
      <c r="N18" s="11">
        <f>IFERROR(MATCH(M18,Wires!$W$2:$W$1000,0),IFERROR(MATCH(M18,Wires!$X$2:$X$1000,0),""))</f>
        <v/>
      </c>
      <c r="O18" s="11">
        <f>IF(N18="","",IF(ISNUMBER(MATCH(M18,Wires!$W$2:$W$1000,0)),"from","to"))</f>
        <v/>
      </c>
    </row>
    <row r="19">
      <c r="A19" s="9" t="inlineStr">
        <is>
          <t>ACQUISITION 7 J2</t>
        </is>
      </c>
      <c r="B19" s="9" t="inlineStr">
        <is>
          <t>8</t>
        </is>
      </c>
      <c r="C19" s="9" t="inlineStr">
        <is>
          <t>NTC_Gear_Sig_R</t>
        </is>
      </c>
      <c r="D19" s="9" t="n"/>
      <c r="E19" s="9" t="inlineStr">
        <is>
          <t>Signal</t>
        </is>
      </c>
      <c r="F19" s="11">
        <f>IF(N19="","",INDEX(Wires!$A$2:$A$1000,N19))</f>
        <v/>
      </c>
      <c r="G19" s="11">
        <f>IF(N19="","",INDEX(Wires!$C$2:$C$1000,N19))</f>
        <v/>
      </c>
      <c r="H19" s="11">
        <f>IF(N19="","",IF(O19="from",INDEX(Wires!$F$2:$F$1000,N19)&amp;":"&amp;INDEX(Wires!$G$2:$G$1000,N19),INDEX(Wires!$D$2:$D$1000,N19)&amp;":"&amp;INDEX(Wires!$E$2:$E$1000,N19)))</f>
        <v/>
      </c>
      <c r="I19" s="11">
        <f>IF(N19="","",INDEX(Wires!$H$2:$H$1000,N19)&amp;"")</f>
        <v/>
      </c>
      <c r="J19" s="11">
        <f>IF(N19="","",IF(INDEX(Wires!$I$2:$I$1000,N19)="","",INDEX(Wires!$I$2:$I$1000,N19)))</f>
        <v/>
      </c>
      <c r="K19" s="11">
        <f>COUNTIF(Wires!$W$2:$W$1000,M19)+COUNTIF(Wires!$X$2:$X$1000,M19)</f>
        <v/>
      </c>
      <c r="L19" s="11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1">
        <f>A19&amp;":"&amp;B19&amp;IF(EXACT(B19,UPPER(B19)),"","|lc")</f>
        <v/>
      </c>
      <c r="N19" s="11">
        <f>IFERROR(MATCH(M19,Wires!$W$2:$W$1000,0),IFERROR(MATCH(M19,Wires!$X$2:$X$1000,0),""))</f>
        <v/>
      </c>
      <c r="O19" s="11">
        <f>IF(N19="","",IF(ISNUMBER(MATCH(M19,Wires!$W$2:$W$1000,0)),"from","to"))</f>
        <v/>
      </c>
    </row>
    <row r="20">
      <c r="A20" s="9" t="inlineStr">
        <is>
          <t>ACQUISITION 7 J3</t>
        </is>
      </c>
      <c r="B20" s="9" t="inlineStr">
        <is>
          <t>1</t>
        </is>
      </c>
      <c r="C20" s="9" t="inlineStr">
        <is>
          <t>BRK_PRESS_Supply</t>
        </is>
      </c>
      <c r="D20" s="9" t="inlineStr">
        <is>
          <t>OUT</t>
        </is>
      </c>
      <c r="E20" s="9" t="inlineStr">
        <is>
          <t>5V</t>
        </is>
      </c>
      <c r="F20" s="11">
        <f>IF(N20="","",INDEX(Wires!$A$2:$A$1000,N20))</f>
        <v/>
      </c>
      <c r="G20" s="11">
        <f>IF(N20="","",INDEX(Wires!$C$2:$C$1000,N20))</f>
        <v/>
      </c>
      <c r="H20" s="11">
        <f>IF(N20="","",IF(O20="from",INDEX(Wires!$F$2:$F$1000,N20)&amp;":"&amp;INDEX(Wires!$G$2:$G$1000,N20),INDEX(Wires!$D$2:$D$1000,N20)&amp;":"&amp;INDEX(Wires!$E$2:$E$1000,N20)))</f>
        <v/>
      </c>
      <c r="I20" s="11">
        <f>IF(N20="","",INDEX(Wires!$H$2:$H$1000,N20)&amp;"")</f>
        <v/>
      </c>
      <c r="J20" s="11">
        <f>IF(N20="","",IF(INDEX(Wires!$I$2:$I$1000,N20)="","",INDEX(Wires!$I$2:$I$1000,N20)))</f>
        <v/>
      </c>
      <c r="K20" s="11">
        <f>COUNTIF(Wires!$W$2:$W$1000,M20)+COUNTIF(Wires!$X$2:$X$1000,M20)</f>
        <v/>
      </c>
      <c r="L20" s="11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1">
        <f>A20&amp;":"&amp;B20&amp;IF(EXACT(B20,UPPER(B20)),"","|lc")</f>
        <v/>
      </c>
      <c r="N20" s="11">
        <f>IFERROR(MATCH(M20,Wires!$W$2:$W$1000,0),IFERROR(MATCH(M20,Wires!$X$2:$X$1000,0),""))</f>
        <v/>
      </c>
      <c r="O20" s="11">
        <f>IF(N20="","",IF(ISNUMBER(MATCH(M20,Wires!$W$2:$W$1000,0)),"from","to"))</f>
        <v/>
      </c>
    </row>
    <row r="21">
      <c r="A21" s="9" t="inlineStr">
        <is>
          <t>ACQUISITION 7 J3</t>
        </is>
      </c>
      <c r="B21" s="9" t="inlineStr">
        <is>
          <t>2</t>
        </is>
      </c>
      <c r="C21" s="9" t="inlineStr">
        <is>
          <t>NTC_Supply</t>
        </is>
      </c>
      <c r="D21" s="9" t="inlineStr">
        <is>
          <t>OUT</t>
        </is>
      </c>
      <c r="E21" s="9" t="inlineStr">
        <is>
          <t>5V</t>
        </is>
      </c>
      <c r="F21" s="11">
        <f>IF(N21="","",INDEX(Wires!$A$2:$A$1000,N21))</f>
        <v/>
      </c>
      <c r="G21" s="11">
        <f>IF(N21="","",INDEX(Wires!$C$2:$C$1000,N21))</f>
        <v/>
      </c>
      <c r="H21" s="11">
        <f>IF(N21="","",IF(O21="from",INDEX(Wires!$F$2:$F$1000,N21)&amp;":"&amp;INDEX(Wires!$G$2:$G$1000,N21),INDEX(Wires!$D$2:$D$1000,N21)&amp;":"&amp;INDEX(Wires!$E$2:$E$1000,N21)))</f>
        <v/>
      </c>
      <c r="I21" s="11">
        <f>IF(N21="","",INDEX(Wires!$H$2:$H$1000,N21)&amp;"")</f>
        <v/>
      </c>
      <c r="J21" s="11">
        <f>IF(N21="","",IF(INDEX(Wires!$I$2:$I$1000,N21)="","",INDEX(Wires!$I$2:$I$1000,N21)))</f>
        <v/>
      </c>
      <c r="K21" s="11">
        <f>COUNTIF(Wires!$W$2:$W$1000,M21)+COUNTIF(Wires!$X$2:$X$1000,M21)</f>
        <v/>
      </c>
      <c r="L21" s="11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1">
        <f>A21&amp;":"&amp;B21&amp;IF(EXACT(B21,UPPER(B21)),"","|lc")</f>
        <v/>
      </c>
      <c r="N21" s="11">
        <f>IFERROR(MATCH(M21,Wires!$W$2:$W$1000,0),IFERROR(MATCH(M21,Wires!$X$2:$X$1000,0),""))</f>
        <v/>
      </c>
      <c r="O21" s="11">
        <f>IF(N21="","",IF(ISNUMBER(MATCH(M21,Wires!$W$2:$W$1000,0)),"from","to"))</f>
        <v/>
      </c>
    </row>
    <row r="22">
      <c r="A22" s="9" t="inlineStr">
        <is>
          <t>ACQUISITION 7 J3</t>
        </is>
      </c>
      <c r="B22" s="9" t="inlineStr">
        <is>
          <t>3</t>
        </is>
      </c>
      <c r="C22" s="9" t="inlineStr">
        <is>
          <t>NTC_Supply</t>
        </is>
      </c>
      <c r="D22" s="9" t="inlineStr">
        <is>
          <t>OUT</t>
        </is>
      </c>
      <c r="E22" s="9" t="inlineStr">
        <is>
          <t>5V</t>
        </is>
      </c>
      <c r="F22" s="11">
        <f>IF(N22="","",INDEX(Wires!$A$2:$A$1000,N22))</f>
        <v/>
      </c>
      <c r="G22" s="11">
        <f>IF(N22="","",INDEX(Wires!$C$2:$C$1000,N22))</f>
        <v/>
      </c>
      <c r="H22" s="11">
        <f>IF(N22="","",IF(O22="from",INDEX(Wires!$F$2:$F$1000,N22)&amp;":"&amp;INDEX(Wires!$G$2:$G$1000,N22),INDEX(Wires!$D$2:$D$1000,N22)&amp;":"&amp;INDEX(Wires!$E$2:$E$1000,N22)))</f>
        <v/>
      </c>
      <c r="I22" s="11">
        <f>IF(N22="","",INDEX(Wires!$H$2:$H$1000,N22)&amp;"")</f>
        <v/>
      </c>
      <c r="J22" s="11">
        <f>IF(N22="","",IF(INDEX(Wires!$I$2:$I$1000,N22)="","",INDEX(Wires!$I$2:$I$1000,N22)))</f>
        <v/>
      </c>
      <c r="K22" s="11">
        <f>COUNTIF(Wires!$W$2:$W$1000,M22)+COUNTIF(Wires!$X$2:$X$1000,M22)</f>
        <v/>
      </c>
      <c r="L22" s="11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1">
        <f>A22&amp;":"&amp;B22&amp;IF(EXACT(B22,UPPER(B22)),"","|lc")</f>
        <v/>
      </c>
      <c r="N22" s="11">
        <f>IFERROR(MATCH(M22,Wires!$W$2:$W$1000,0),IFERROR(MATCH(M22,Wires!$X$2:$X$1000,0),""))</f>
        <v/>
      </c>
      <c r="O22" s="11">
        <f>IF(N22="","",IF(ISNUMBER(MATCH(M22,Wires!$W$2:$W$1000,0)),"from","to"))</f>
        <v/>
      </c>
    </row>
    <row r="23">
      <c r="A23" s="9" t="inlineStr">
        <is>
          <t>ACQUISITION 7 J3</t>
        </is>
      </c>
      <c r="B23" s="9" t="inlineStr">
        <is>
          <t>4</t>
        </is>
      </c>
      <c r="C23" s="9" t="n"/>
      <c r="D23" s="9" t="n"/>
      <c r="E23" s="9" t="n"/>
      <c r="F23" s="11">
        <f>IF(N23="","",INDEX(Wires!$A$2:$A$1000,N23))</f>
        <v/>
      </c>
      <c r="G23" s="11">
        <f>IF(N23="","",INDEX(Wires!$C$2:$C$1000,N23))</f>
        <v/>
      </c>
      <c r="H23" s="11">
        <f>IF(N23="","",IF(O23="from",INDEX(Wires!$F$2:$F$1000,N23)&amp;":"&amp;INDEX(Wires!$G$2:$G$1000,N23),INDEX(Wires!$D$2:$D$1000,N23)&amp;":"&amp;INDEX(Wires!$E$2:$E$1000,N23)))</f>
        <v/>
      </c>
      <c r="I23" s="11">
        <f>IF(N23="","",INDEX(Wires!$H$2:$H$1000,N23)&amp;"")</f>
        <v/>
      </c>
      <c r="J23" s="11">
        <f>IF(N23="","",IF(INDEX(Wires!$I$2:$I$1000,N23)="","",INDEX(Wires!$I$2:$I$1000,N23)))</f>
        <v/>
      </c>
      <c r="K23" s="11">
        <f>COUNTIF(Wires!$W$2:$W$1000,M23)+COUNTIF(Wires!$X$2:$X$1000,M23)</f>
        <v/>
      </c>
      <c r="L23" s="11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1">
        <f>A23&amp;":"&amp;B23&amp;IF(EXACT(B23,UPPER(B23)),"","|lc")</f>
        <v/>
      </c>
      <c r="N23" s="11">
        <f>IFERROR(MATCH(M23,Wires!$W$2:$W$1000,0),IFERROR(MATCH(M23,Wires!$X$2:$X$1000,0),""))</f>
        <v/>
      </c>
      <c r="O23" s="11">
        <f>IF(N23="","",IF(ISNUMBER(MATCH(M23,Wires!$W$2:$W$1000,0)),"from","to"))</f>
        <v/>
      </c>
    </row>
    <row r="24">
      <c r="A24" s="9" t="inlineStr">
        <is>
          <t>ACQUISITION 7 J3</t>
        </is>
      </c>
      <c r="B24" s="9" t="inlineStr">
        <is>
          <t>5</t>
        </is>
      </c>
      <c r="C24" s="9" t="inlineStr">
        <is>
          <t>Susp_Supply</t>
        </is>
      </c>
      <c r="D24" s="9" t="inlineStr">
        <is>
          <t>OUT</t>
        </is>
      </c>
      <c r="E24" s="9" t="inlineStr">
        <is>
          <t>24V</t>
        </is>
      </c>
      <c r="F24" s="11">
        <f>IF(N24="","",INDEX(Wires!$A$2:$A$1000,N24))</f>
        <v/>
      </c>
      <c r="G24" s="11">
        <f>IF(N24="","",INDEX(Wires!$C$2:$C$1000,N24))</f>
        <v/>
      </c>
      <c r="H24" s="11">
        <f>IF(N24="","",IF(O24="from",INDEX(Wires!$F$2:$F$1000,N24)&amp;":"&amp;INDEX(Wires!$G$2:$G$1000,N24),INDEX(Wires!$D$2:$D$1000,N24)&amp;":"&amp;INDEX(Wires!$E$2:$E$1000,N24)))</f>
        <v/>
      </c>
      <c r="I24" s="11">
        <f>IF(N24="","",INDEX(Wires!$H$2:$H$1000,N24)&amp;"")</f>
        <v/>
      </c>
      <c r="J24" s="11">
        <f>IF(N24="","",IF(INDEX(Wires!$I$2:$I$1000,N24)="","",INDEX(Wires!$I$2:$I$1000,N24)))</f>
        <v/>
      </c>
      <c r="K24" s="11">
        <f>COUNTIF(Wires!$W$2:$W$1000,M24)+COUNTIF(Wires!$X$2:$X$1000,M24)</f>
        <v/>
      </c>
      <c r="L24" s="11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1">
        <f>A24&amp;":"&amp;B24&amp;IF(EXACT(B24,UPPER(B24)),"","|lc")</f>
        <v/>
      </c>
      <c r="N24" s="11">
        <f>IFERROR(MATCH(M24,Wires!$W$2:$W$1000,0),IFERROR(MATCH(M24,Wires!$X$2:$X$1000,0),""))</f>
        <v/>
      </c>
      <c r="O24" s="11">
        <f>IF(N24="","",IF(ISNUMBER(MATCH(M24,Wires!$W$2:$W$1000,0)),"from","to"))</f>
        <v/>
      </c>
    </row>
    <row r="25">
      <c r="A25" s="9" t="inlineStr">
        <is>
          <t>ACQUISITION 7 J3</t>
        </is>
      </c>
      <c r="B25" s="9" t="inlineStr">
        <is>
          <t>6</t>
        </is>
      </c>
      <c r="C25" s="9" t="inlineStr">
        <is>
          <t>BRK_PRESS_GND</t>
        </is>
      </c>
      <c r="D25" s="9" t="inlineStr">
        <is>
          <t>OUT</t>
        </is>
      </c>
      <c r="E25" s="9" t="inlineStr">
        <is>
          <t>0V</t>
        </is>
      </c>
      <c r="F25" s="11">
        <f>IF(N25="","",INDEX(Wires!$A$2:$A$1000,N25))</f>
        <v/>
      </c>
      <c r="G25" s="11">
        <f>IF(N25="","",INDEX(Wires!$C$2:$C$1000,N25))</f>
        <v/>
      </c>
      <c r="H25" s="11">
        <f>IF(N25="","",IF(O25="from",INDEX(Wires!$F$2:$F$1000,N25)&amp;":"&amp;INDEX(Wires!$G$2:$G$1000,N25),INDEX(Wires!$D$2:$D$1000,N25)&amp;":"&amp;INDEX(Wires!$E$2:$E$1000,N25)))</f>
        <v/>
      </c>
      <c r="I25" s="11">
        <f>IF(N25="","",INDEX(Wires!$H$2:$H$1000,N25)&amp;"")</f>
        <v/>
      </c>
      <c r="J25" s="11">
        <f>IF(N25="","",IF(INDEX(Wires!$I$2:$I$1000,N25)="","",INDEX(Wires!$I$2:$I$1000,N25)))</f>
        <v/>
      </c>
      <c r="K25" s="11">
        <f>COUNTIF(Wires!$W$2:$W$1000,M25)+COUNTIF(Wires!$X$2:$X$1000,M25)</f>
        <v/>
      </c>
      <c r="L25" s="11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1">
        <f>A25&amp;":"&amp;B25&amp;IF(EXACT(B25,UPPER(B25)),"","|lc")</f>
        <v/>
      </c>
      <c r="N25" s="11">
        <f>IFERROR(MATCH(M25,Wires!$W$2:$W$1000,0),IFERROR(MATCH(M25,Wires!$X$2:$X$1000,0),""))</f>
        <v/>
      </c>
      <c r="O25" s="11">
        <f>IF(N25="","",IF(ISNUMBER(MATCH(M25,Wires!$W$2:$W$1000,0)),"from","to"))</f>
        <v/>
      </c>
    </row>
    <row r="26">
      <c r="A26" s="9" t="inlineStr">
        <is>
          <t>ACQUISITION 7 J3</t>
        </is>
      </c>
      <c r="B26" s="9" t="inlineStr">
        <is>
          <t>7</t>
        </is>
      </c>
      <c r="C26" s="9" t="inlineStr">
        <is>
          <t>Susp_Supply</t>
        </is>
      </c>
      <c r="D26" s="9" t="inlineStr">
        <is>
          <t>OUT</t>
        </is>
      </c>
      <c r="E26" s="9" t="inlineStr">
        <is>
          <t>24V</t>
        </is>
      </c>
      <c r="F26" s="11">
        <f>IF(N26="","",INDEX(Wires!$A$2:$A$1000,N26))</f>
        <v/>
      </c>
      <c r="G26" s="11">
        <f>IF(N26="","",INDEX(Wires!$C$2:$C$1000,N26))</f>
        <v/>
      </c>
      <c r="H26" s="11">
        <f>IF(N26="","",IF(O26="from",INDEX(Wires!$F$2:$F$1000,N26)&amp;":"&amp;INDEX(Wires!$G$2:$G$1000,N26),INDEX(Wires!$D$2:$D$1000,N26)&amp;":"&amp;INDEX(Wires!$E$2:$E$1000,N26)))</f>
        <v/>
      </c>
      <c r="I26" s="11">
        <f>IF(N26="","",INDEX(Wires!$H$2:$H$1000,N26)&amp;"")</f>
        <v/>
      </c>
      <c r="J26" s="11">
        <f>IF(N26="","",IF(INDEX(Wires!$I$2:$I$1000,N26)="","",INDEX(Wires!$I$2:$I$1000,N26)))</f>
        <v/>
      </c>
      <c r="K26" s="11">
        <f>COUNTIF(Wires!$W$2:$W$1000,M26)+COUNTIF(Wires!$X$2:$X$1000,M26)</f>
        <v/>
      </c>
      <c r="L26" s="11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1">
        <f>A26&amp;":"&amp;B26&amp;IF(EXACT(B26,UPPER(B26)),"","|lc")</f>
        <v/>
      </c>
      <c r="N26" s="11">
        <f>IFERROR(MATCH(M26,Wires!$W$2:$W$1000,0),IFERROR(MATCH(M26,Wires!$X$2:$X$1000,0),""))</f>
        <v/>
      </c>
      <c r="O26" s="11">
        <f>IF(N26="","",IF(ISNUMBER(MATCH(M26,Wires!$W$2:$W$1000,0)),"from","to"))</f>
        <v/>
      </c>
    </row>
    <row r="27">
      <c r="A27" s="9" t="inlineStr">
        <is>
          <t>ACQUISITION 7 J3</t>
        </is>
      </c>
      <c r="B27" s="9" t="inlineStr">
        <is>
          <t>8</t>
        </is>
      </c>
      <c r="C27" s="9" t="inlineStr">
        <is>
          <t>Susp_GND</t>
        </is>
      </c>
      <c r="D27" s="9" t="inlineStr">
        <is>
          <t>OUT</t>
        </is>
      </c>
      <c r="E27" s="9" t="inlineStr">
        <is>
          <t>0V</t>
        </is>
      </c>
      <c r="F27" s="11">
        <f>IF(N27="","",INDEX(Wires!$A$2:$A$1000,N27))</f>
        <v/>
      </c>
      <c r="G27" s="11">
        <f>IF(N27="","",INDEX(Wires!$C$2:$C$1000,N27))</f>
        <v/>
      </c>
      <c r="H27" s="11">
        <f>IF(N27="","",IF(O27="from",INDEX(Wires!$F$2:$F$1000,N27)&amp;":"&amp;INDEX(Wires!$G$2:$G$1000,N27),INDEX(Wires!$D$2:$D$1000,N27)&amp;":"&amp;INDEX(Wires!$E$2:$E$1000,N27)))</f>
        <v/>
      </c>
      <c r="I27" s="11">
        <f>IF(N27="","",INDEX(Wires!$H$2:$H$1000,N27)&amp;"")</f>
        <v/>
      </c>
      <c r="J27" s="11">
        <f>IF(N27="","",IF(INDEX(Wires!$I$2:$I$1000,N27)="","",INDEX(Wires!$I$2:$I$1000,N27)))</f>
        <v/>
      </c>
      <c r="K27" s="11">
        <f>COUNTIF(Wires!$W$2:$W$1000,M27)+COUNTIF(Wires!$X$2:$X$1000,M27)</f>
        <v/>
      </c>
      <c r="L27" s="11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1">
        <f>A27&amp;":"&amp;B27&amp;IF(EXACT(B27,UPPER(B27)),"","|lc")</f>
        <v/>
      </c>
      <c r="N27" s="11">
        <f>IFERROR(MATCH(M27,Wires!$W$2:$W$1000,0),IFERROR(MATCH(M27,Wires!$X$2:$X$1000,0),""))</f>
        <v/>
      </c>
      <c r="O27" s="11">
        <f>IF(N27="","",IF(ISNUMBER(MATCH(M27,Wires!$W$2:$W$1000,0)),"from","to"))</f>
        <v/>
      </c>
    </row>
    <row r="28">
      <c r="A28" s="9" t="inlineStr">
        <is>
          <t>ACQUISITION 7 J3</t>
        </is>
      </c>
      <c r="B28" s="9" t="inlineStr">
        <is>
          <t>9</t>
        </is>
      </c>
      <c r="C28" s="9" t="n"/>
      <c r="D28" s="9" t="n"/>
      <c r="E28" s="9" t="n"/>
      <c r="F28" s="11">
        <f>IF(N28="","",INDEX(Wires!$A$2:$A$1000,N28))</f>
        <v/>
      </c>
      <c r="G28" s="11">
        <f>IF(N28="","",INDEX(Wires!$C$2:$C$1000,N28))</f>
        <v/>
      </c>
      <c r="H28" s="11">
        <f>IF(N28="","",IF(O28="from",INDEX(Wires!$F$2:$F$1000,N28)&amp;":"&amp;INDEX(Wires!$G$2:$G$1000,N28),INDEX(Wires!$D$2:$D$1000,N28)&amp;":"&amp;INDEX(Wires!$E$2:$E$1000,N28)))</f>
        <v/>
      </c>
      <c r="I28" s="11">
        <f>IF(N28="","",INDEX(Wires!$H$2:$H$1000,N28)&amp;"")</f>
        <v/>
      </c>
      <c r="J28" s="11">
        <f>IF(N28="","",IF(INDEX(Wires!$I$2:$I$1000,N28)="","",INDEX(Wires!$I$2:$I$1000,N28)))</f>
        <v/>
      </c>
      <c r="K28" s="11">
        <f>COUNTIF(Wires!$W$2:$W$1000,M28)+COUNTIF(Wires!$X$2:$X$1000,M28)</f>
        <v/>
      </c>
      <c r="L28" s="11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1">
        <f>A28&amp;":"&amp;B28&amp;IF(EXACT(B28,UPPER(B28)),"","|lc")</f>
        <v/>
      </c>
      <c r="N28" s="11">
        <f>IFERROR(MATCH(M28,Wires!$W$2:$W$1000,0),IFERROR(MATCH(M28,Wires!$X$2:$X$1000,0),""))</f>
        <v/>
      </c>
      <c r="O28" s="11">
        <f>IF(N28="","",IF(ISNUMBER(MATCH(M28,Wires!$W$2:$W$1000,0)),"from","to"))</f>
        <v/>
      </c>
    </row>
    <row r="29">
      <c r="A29" s="9" t="inlineStr">
        <is>
          <t>ACQUISITION 7 J3</t>
        </is>
      </c>
      <c r="B29" s="9" t="inlineStr">
        <is>
          <t>10</t>
        </is>
      </c>
      <c r="C29" s="9" t="inlineStr">
        <is>
          <t>Susp_GND</t>
        </is>
      </c>
      <c r="D29" s="9" t="inlineStr">
        <is>
          <t>OUT</t>
        </is>
      </c>
      <c r="E29" s="9" t="inlineStr">
        <is>
          <t>0V</t>
        </is>
      </c>
      <c r="F29" s="11">
        <f>IF(N29="","",INDEX(Wires!$A$2:$A$1000,N29))</f>
        <v/>
      </c>
      <c r="G29" s="11">
        <f>IF(N29="","",INDEX(Wires!$C$2:$C$1000,N29))</f>
        <v/>
      </c>
      <c r="H29" s="11">
        <f>IF(N29="","",IF(O29="from",INDEX(Wires!$F$2:$F$1000,N29)&amp;":"&amp;INDEX(Wires!$G$2:$G$1000,N29),INDEX(Wires!$D$2:$D$1000,N29)&amp;":"&amp;INDEX(Wires!$E$2:$E$1000,N29)))</f>
        <v/>
      </c>
      <c r="I29" s="11">
        <f>IF(N29="","",INDEX(Wires!$H$2:$H$1000,N29)&amp;"")</f>
        <v/>
      </c>
      <c r="J29" s="11">
        <f>IF(N29="","",IF(INDEX(Wires!$I$2:$I$1000,N29)="","",INDEX(Wires!$I$2:$I$1000,N29)))</f>
        <v/>
      </c>
      <c r="K29" s="11">
        <f>COUNTIF(Wires!$W$2:$W$1000,M29)+COUNTIF(Wires!$X$2:$X$1000,M29)</f>
        <v/>
      </c>
      <c r="L29" s="11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1">
        <f>A29&amp;":"&amp;B29&amp;IF(EXACT(B29,UPPER(B29)),"","|lc")</f>
        <v/>
      </c>
      <c r="N29" s="11">
        <f>IFERROR(MATCH(M29,Wires!$W$2:$W$1000,0),IFERROR(MATCH(M29,Wires!$X$2:$X$1000,0),""))</f>
        <v/>
      </c>
      <c r="O29" s="11">
        <f>IF(N29="","",IF(ISNUMBER(MATCH(M29,Wires!$W$2:$W$1000,0)),"from","to"))</f>
        <v/>
      </c>
    </row>
    <row r="30">
      <c r="A30" s="9" t="inlineStr">
        <is>
          <t>ACQUISITION 7 J3</t>
        </is>
      </c>
      <c r="B30" s="9" t="inlineStr">
        <is>
          <t>11</t>
        </is>
      </c>
      <c r="C30" s="9" t="inlineStr">
        <is>
          <t>Power brake light</t>
        </is>
      </c>
      <c r="D30" s="9" t="n"/>
      <c r="E30" s="9" t="n"/>
      <c r="F30" s="11">
        <f>IF(N30="","",INDEX(Wires!$A$2:$A$1000,N30))</f>
        <v/>
      </c>
      <c r="G30" s="11">
        <f>IF(N30="","",INDEX(Wires!$C$2:$C$1000,N30))</f>
        <v/>
      </c>
      <c r="H30" s="11">
        <f>IF(N30="","",IF(O30="from",INDEX(Wires!$F$2:$F$1000,N30)&amp;":"&amp;INDEX(Wires!$G$2:$G$1000,N30),INDEX(Wires!$D$2:$D$1000,N30)&amp;":"&amp;INDEX(Wires!$E$2:$E$1000,N30)))</f>
        <v/>
      </c>
      <c r="I30" s="11">
        <f>IF(N30="","",INDEX(Wires!$H$2:$H$1000,N30)&amp;"")</f>
        <v/>
      </c>
      <c r="J30" s="11">
        <f>IF(N30="","",IF(INDEX(Wires!$I$2:$I$1000,N30)="","",INDEX(Wires!$I$2:$I$1000,N30)))</f>
        <v/>
      </c>
      <c r="K30" s="11">
        <f>COUNTIF(Wires!$W$2:$W$1000,M30)+COUNTIF(Wires!$X$2:$X$1000,M30)</f>
        <v/>
      </c>
      <c r="L30" s="11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1">
        <f>A30&amp;":"&amp;B30&amp;IF(EXACT(B30,UPPER(B30)),"","|lc")</f>
        <v/>
      </c>
      <c r="N30" s="11">
        <f>IFERROR(MATCH(M30,Wires!$W$2:$W$1000,0),IFERROR(MATCH(M30,Wires!$X$2:$X$1000,0),""))</f>
        <v/>
      </c>
      <c r="O30" s="11">
        <f>IF(N30="","",IF(ISNUMBER(MATCH(M30,Wires!$W$2:$W$1000,0)),"from","to"))</f>
        <v/>
      </c>
    </row>
    <row r="31">
      <c r="A31" s="9" t="inlineStr">
        <is>
          <t>ACQUISITION 7 J3</t>
        </is>
      </c>
      <c r="B31" s="9" t="inlineStr">
        <is>
          <t>12</t>
        </is>
      </c>
      <c r="C31" s="9" t="inlineStr">
        <is>
          <t>ground brake light</t>
        </is>
      </c>
      <c r="D31" s="9" t="n"/>
      <c r="E31" s="9" t="n"/>
      <c r="F31" s="11">
        <f>IF(N31="","",INDEX(Wires!$A$2:$A$1000,N31))</f>
        <v/>
      </c>
      <c r="G31" s="11">
        <f>IF(N31="","",INDEX(Wires!$C$2:$C$1000,N31))</f>
        <v/>
      </c>
      <c r="H31" s="11">
        <f>IF(N31="","",IF(O31="from",INDEX(Wires!$F$2:$F$1000,N31)&amp;":"&amp;INDEX(Wires!$G$2:$G$1000,N31),INDEX(Wires!$D$2:$D$1000,N31)&amp;":"&amp;INDEX(Wires!$E$2:$E$1000,N31)))</f>
        <v/>
      </c>
      <c r="I31" s="11">
        <f>IF(N31="","",INDEX(Wires!$H$2:$H$1000,N31)&amp;"")</f>
        <v/>
      </c>
      <c r="J31" s="11">
        <f>IF(N31="","",IF(INDEX(Wires!$I$2:$I$1000,N31)="","",INDEX(Wires!$I$2:$I$1000,N31)))</f>
        <v/>
      </c>
      <c r="K31" s="11">
        <f>COUNTIF(Wires!$W$2:$W$1000,M31)+COUNTIF(Wires!$X$2:$X$1000,M31)</f>
        <v/>
      </c>
      <c r="L31" s="11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1">
        <f>A31&amp;":"&amp;B31&amp;IF(EXACT(B31,UPPER(B31)),"","|lc")</f>
        <v/>
      </c>
      <c r="N31" s="11">
        <f>IFERROR(MATCH(M31,Wires!$W$2:$W$1000,0),IFERROR(MATCH(M31,Wires!$X$2:$X$1000,0),""))</f>
        <v/>
      </c>
      <c r="O31" s="11">
        <f>IF(N31="","",IF(ISNUMBER(MATCH(M31,Wires!$W$2:$W$1000,0)),"from","to"))</f>
        <v/>
      </c>
    </row>
    <row r="32">
      <c r="A32" s="9" t="inlineStr">
        <is>
          <t>PDM J1</t>
        </is>
      </c>
      <c r="B32" s="9" t="inlineStr">
        <is>
          <t>8</t>
        </is>
      </c>
      <c r="C32" s="9" t="n"/>
      <c r="D32" s="9" t="n"/>
      <c r="E32" s="9" t="n"/>
      <c r="F32" s="11">
        <f>IF(N32="","",INDEX(Wires!$A$2:$A$1000,N32))</f>
        <v/>
      </c>
      <c r="G32" s="11">
        <f>IF(N32="","",INDEX(Wires!$C$2:$C$1000,N32))</f>
        <v/>
      </c>
      <c r="H32" s="11">
        <f>IF(N32="","",IF(O32="from",INDEX(Wires!$F$2:$F$1000,N32)&amp;":"&amp;INDEX(Wires!$G$2:$G$1000,N32),INDEX(Wires!$D$2:$D$1000,N32)&amp;":"&amp;INDEX(Wires!$E$2:$E$1000,N32)))</f>
        <v/>
      </c>
      <c r="I32" s="11">
        <f>IF(N32="","",INDEX(Wires!$H$2:$H$1000,N32)&amp;"")</f>
        <v/>
      </c>
      <c r="J32" s="11">
        <f>IF(N32="","",IF(INDEX(Wires!$I$2:$I$1000,N32)="","",INDEX(Wires!$I$2:$I$1000,N32)))</f>
        <v/>
      </c>
      <c r="K32" s="11">
        <f>COUNTIF(Wires!$W$2:$W$1000,M32)+COUNTIF(Wires!$X$2:$X$1000,M32)</f>
        <v/>
      </c>
      <c r="L32" s="11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1">
        <f>A32&amp;":"&amp;B32&amp;IF(EXACT(B32,UPPER(B32)),"","|lc")</f>
        <v/>
      </c>
      <c r="N32" s="11">
        <f>IFERROR(MATCH(M32,Wires!$W$2:$W$1000,0),IFERROR(MATCH(M32,Wires!$X$2:$X$1000,0),""))</f>
        <v/>
      </c>
      <c r="O32" s="11">
        <f>IF(N32="","",IF(ISNUMBER(MATCH(M32,Wires!$W$2:$W$1000,0)),"from","to"))</f>
        <v/>
      </c>
    </row>
    <row r="33">
      <c r="A33" s="9" t="inlineStr">
        <is>
          <t>GROUND POINT</t>
        </is>
      </c>
      <c r="B33" s="9" t="inlineStr">
        <is>
          <t>GND</t>
        </is>
      </c>
      <c r="C33" s="9" t="n"/>
      <c r="D33" s="9" t="n"/>
      <c r="E33" s="9" t="n"/>
      <c r="F33" s="11">
        <f>IF(N33="","",INDEX(Wires!$A$2:$A$1000,N33))</f>
        <v/>
      </c>
      <c r="G33" s="11">
        <f>IF(N33="","",INDEX(Wires!$C$2:$C$1000,N33))</f>
        <v/>
      </c>
      <c r="H33" s="11">
        <f>IF(N33="","",IF(O33="from",INDEX(Wires!$F$2:$F$1000,N33)&amp;":"&amp;INDEX(Wires!$G$2:$G$1000,N33),INDEX(Wires!$D$2:$D$1000,N33)&amp;":"&amp;INDEX(Wires!$E$2:$E$1000,N33)))</f>
        <v/>
      </c>
      <c r="I33" s="11">
        <f>IF(N33="","",INDEX(Wires!$H$2:$H$1000,N33)&amp;"")</f>
        <v/>
      </c>
      <c r="J33" s="11">
        <f>IF(N33="","",IF(INDEX(Wires!$I$2:$I$1000,N33)="","",INDEX(Wires!$I$2:$I$1000,N33)))</f>
        <v/>
      </c>
      <c r="K33" s="11">
        <f>COUNTIF(Wires!$W$2:$W$1000,M33)+COUNTIF(Wires!$X$2:$X$1000,M33)</f>
        <v/>
      </c>
      <c r="L33" s="11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1">
        <f>A33&amp;":"&amp;B33&amp;IF(EXACT(B33,UPPER(B33)),"","|lc")</f>
        <v/>
      </c>
      <c r="N33" s="11">
        <f>IFERROR(MATCH(M33,Wires!$W$2:$W$1000,0),IFERROR(MATCH(M33,Wires!$X$2:$X$1000,0),""))</f>
        <v/>
      </c>
      <c r="O33" s="11">
        <f>IF(N33="","",IF(ISNUMBER(MATCH(M33,Wires!$W$2:$W$1000,0)),"from","to"))</f>
        <v/>
      </c>
    </row>
    <row r="34">
      <c r="A34" s="9" t="inlineStr">
        <is>
          <t>AUT CAN BUS NODE</t>
        </is>
      </c>
      <c r="B34" s="9" t="inlineStr">
        <is>
          <t>?1</t>
        </is>
      </c>
      <c r="C34" s="9" t="n"/>
      <c r="D34" s="9" t="n"/>
      <c r="E34" s="9" t="n"/>
      <c r="F34" s="11">
        <f>IF(N34="","",INDEX(Wires!$A$2:$A$1000,N34))</f>
        <v/>
      </c>
      <c r="G34" s="11">
        <f>IF(N34="","",INDEX(Wires!$C$2:$C$1000,N34))</f>
        <v/>
      </c>
      <c r="H34" s="11">
        <f>IF(N34="","",IF(O34="from",INDEX(Wires!$F$2:$F$1000,N34)&amp;":"&amp;INDEX(Wires!$G$2:$G$1000,N34),INDEX(Wires!$D$2:$D$1000,N34)&amp;":"&amp;INDEX(Wires!$E$2:$E$1000,N34)))</f>
        <v/>
      </c>
      <c r="I34" s="11">
        <f>IF(N34="","",INDEX(Wires!$H$2:$H$1000,N34)&amp;"")</f>
        <v/>
      </c>
      <c r="J34" s="11">
        <f>IF(N34="","",IF(INDEX(Wires!$I$2:$I$1000,N34)="","",INDEX(Wires!$I$2:$I$1000,N34)))</f>
        <v/>
      </c>
      <c r="K34" s="11">
        <f>COUNTIF(Wires!$W$2:$W$1000,M34)+COUNTIF(Wires!$X$2:$X$1000,M34)</f>
        <v/>
      </c>
      <c r="L34" s="11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1">
        <f>A34&amp;":"&amp;B34&amp;IF(EXACT(B34,UPPER(B34)),"","|lc")</f>
        <v/>
      </c>
      <c r="N34" s="11">
        <f>IFERROR(MATCH(M34,Wires!$W$2:$W$1000,0),IFERROR(MATCH(M34,Wires!$X$2:$X$1000,0),""))</f>
        <v/>
      </c>
      <c r="O34" s="11">
        <f>IF(N34="","",IF(ISNUMBER(MATCH(M34,Wires!$W$2:$W$1000,0)),"from","to"))</f>
        <v/>
      </c>
    </row>
    <row r="35">
      <c r="A35" s="9" t="inlineStr">
        <is>
          <t>DATA CAN BUS NODE</t>
        </is>
      </c>
      <c r="B35" s="9" t="inlineStr">
        <is>
          <t>?1</t>
        </is>
      </c>
      <c r="C35" s="9" t="n"/>
      <c r="D35" s="9" t="n"/>
      <c r="E35" s="9" t="n"/>
      <c r="F35" s="11">
        <f>IF(N35="","",INDEX(Wires!$A$2:$A$1000,N35))</f>
        <v/>
      </c>
      <c r="G35" s="11">
        <f>IF(N35="","",INDEX(Wires!$C$2:$C$1000,N35))</f>
        <v/>
      </c>
      <c r="H35" s="11">
        <f>IF(N35="","",IF(O35="from",INDEX(Wires!$F$2:$F$1000,N35)&amp;":"&amp;INDEX(Wires!$G$2:$G$1000,N35),INDEX(Wires!$D$2:$D$1000,N35)&amp;":"&amp;INDEX(Wires!$E$2:$E$1000,N35)))</f>
        <v/>
      </c>
      <c r="I35" s="11">
        <f>IF(N35="","",INDEX(Wires!$H$2:$H$1000,N35)&amp;"")</f>
        <v/>
      </c>
      <c r="J35" s="11">
        <f>IF(N35="","",IF(INDEX(Wires!$I$2:$I$1000,N35)="","",INDEX(Wires!$I$2:$I$1000,N35)))</f>
        <v/>
      </c>
      <c r="K35" s="11">
        <f>COUNTIF(Wires!$W$2:$W$1000,M35)+COUNTIF(Wires!$X$2:$X$1000,M35)</f>
        <v/>
      </c>
      <c r="L35" s="11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1">
        <f>A35&amp;":"&amp;B35&amp;IF(EXACT(B35,UPPER(B35)),"","|lc")</f>
        <v/>
      </c>
      <c r="N35" s="11">
        <f>IFERROR(MATCH(M35,Wires!$W$2:$W$1000,0),IFERROR(MATCH(M35,Wires!$X$2:$X$1000,0),""))</f>
        <v/>
      </c>
      <c r="O35" s="11">
        <f>IF(N35="","",IF(ISNUMBER(MATCH(M35,Wires!$W$2:$W$1000,0)),"from","to"))</f>
        <v/>
      </c>
    </row>
    <row r="36">
      <c r="A36" s="9" t="inlineStr">
        <is>
          <t>AUT CAN BUS NODE</t>
        </is>
      </c>
      <c r="B36" s="9" t="inlineStr">
        <is>
          <t>?2</t>
        </is>
      </c>
      <c r="C36" s="9" t="n"/>
      <c r="D36" s="9" t="n"/>
      <c r="E36" s="9" t="n"/>
      <c r="F36" s="11">
        <f>IF(N36="","",INDEX(Wires!$A$2:$A$1000,N36))</f>
        <v/>
      </c>
      <c r="G36" s="11">
        <f>IF(N36="","",INDEX(Wires!$C$2:$C$1000,N36))</f>
        <v/>
      </c>
      <c r="H36" s="11">
        <f>IF(N36="","",IF(O36="from",INDEX(Wires!$F$2:$F$1000,N36)&amp;":"&amp;INDEX(Wires!$G$2:$G$1000,N36),INDEX(Wires!$D$2:$D$1000,N36)&amp;":"&amp;INDEX(Wires!$E$2:$E$1000,N36)))</f>
        <v/>
      </c>
      <c r="I36" s="11">
        <f>IF(N36="","",INDEX(Wires!$H$2:$H$1000,N36)&amp;"")</f>
        <v/>
      </c>
      <c r="J36" s="11">
        <f>IF(N36="","",IF(INDEX(Wires!$I$2:$I$1000,N36)="","",INDEX(Wires!$I$2:$I$1000,N36)))</f>
        <v/>
      </c>
      <c r="K36" s="11">
        <f>COUNTIF(Wires!$W$2:$W$1000,M36)+COUNTIF(Wires!$X$2:$X$1000,M36)</f>
        <v/>
      </c>
      <c r="L36" s="11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1">
        <f>A36&amp;":"&amp;B36&amp;IF(EXACT(B36,UPPER(B36)),"","|lc")</f>
        <v/>
      </c>
      <c r="N36" s="11">
        <f>IFERROR(MATCH(M36,Wires!$W$2:$W$1000,0),IFERROR(MATCH(M36,Wires!$X$2:$X$1000,0),""))</f>
        <v/>
      </c>
      <c r="O36" s="11">
        <f>IF(N36="","",IF(ISNUMBER(MATCH(M36,Wires!$W$2:$W$1000,0)),"from","to"))</f>
        <v/>
      </c>
    </row>
    <row r="37">
      <c r="A37" s="9" t="inlineStr">
        <is>
          <t>DATA CAN BUS NODE</t>
        </is>
      </c>
      <c r="B37" s="9" t="inlineStr">
        <is>
          <t>?2</t>
        </is>
      </c>
      <c r="C37" s="9" t="n"/>
      <c r="D37" s="9" t="n"/>
      <c r="E37" s="9" t="n"/>
      <c r="F37" s="11">
        <f>IF(N37="","",INDEX(Wires!$A$2:$A$1000,N37))</f>
        <v/>
      </c>
      <c r="G37" s="11">
        <f>IF(N37="","",INDEX(Wires!$C$2:$C$1000,N37))</f>
        <v/>
      </c>
      <c r="H37" s="11">
        <f>IF(N37="","",IF(O37="from",INDEX(Wires!$F$2:$F$1000,N37)&amp;":"&amp;INDEX(Wires!$G$2:$G$1000,N37),INDEX(Wires!$D$2:$D$1000,N37)&amp;":"&amp;INDEX(Wires!$E$2:$E$1000,N37)))</f>
        <v/>
      </c>
      <c r="I37" s="11">
        <f>IF(N37="","",INDEX(Wires!$H$2:$H$1000,N37)&amp;"")</f>
        <v/>
      </c>
      <c r="J37" s="11">
        <f>IF(N37="","",IF(INDEX(Wires!$I$2:$I$1000,N37)="","",INDEX(Wires!$I$2:$I$1000,N37)))</f>
        <v/>
      </c>
      <c r="K37" s="11">
        <f>COUNTIF(Wires!$W$2:$W$1000,M37)+COUNTIF(Wires!$X$2:$X$1000,M37)</f>
        <v/>
      </c>
      <c r="L37" s="11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1">
        <f>A37&amp;":"&amp;B37&amp;IF(EXACT(B37,UPPER(B37)),"","|lc")</f>
        <v/>
      </c>
      <c r="N37" s="11">
        <f>IFERROR(MATCH(M37,Wires!$W$2:$W$1000,0),IFERROR(MATCH(M37,Wires!$X$2:$X$1000,0),""))</f>
        <v/>
      </c>
      <c r="O37" s="11">
        <f>IF(N37="","",IF(ISNUMBER(MATCH(M37,Wires!$W$2:$W$1000,0)),"from","to"))</f>
        <v/>
      </c>
    </row>
  </sheetData>
  <autoFilter ref="A1:O37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menor</t>
        </is>
      </c>
      <c r="C2" s="2" t="inlineStr">
        <is>
          <t>4 linha(s)</t>
        </is>
      </c>
      <c r="D2" s="2" t="inlineStr">
        <is>
          <t>Destino sem pino: ACQUISITION 7 J1:3 → destino AUT CAN BUS NODE sem pino (folha Acquisition Board 7); ACQUISITION 7 J1:4 → destino DATA CAN BUS NODE sem pino (folha Acquisition Board 7); ACQUISITION 7 J1:5 → destino AUT CAN BUS NODE sem pino (folha Acquisition Board 7); ACQUISITION 7 J1:6 → destino DATA CAN BUS NODE sem pino (folha Acquisition Board 7)</t>
        </is>
      </c>
      <c r="E2" s="2" t="n"/>
      <c r="F2" s="2" t="n"/>
      <c r="G2" s="2" t="inlineStr">
        <is>
          <t>Pino marcado "?"</t>
        </is>
      </c>
      <c r="H2" s="10" t="n"/>
      <c r="I2" s="9" t="inlineStr">
        <is>
          <t>aberto</t>
        </is>
      </c>
      <c r="J2" s="11">
        <f>COUNTIF(Wires!$U$2:$U$1000,"*"&amp;A2&amp;"*")</f>
        <v/>
      </c>
    </row>
    <row r="3">
      <c r="A3" s="2" t="inlineStr">
        <is>
          <t>I-02</t>
        </is>
      </c>
      <c r="B3" s="2" t="inlineStr">
        <is>
          <t>info</t>
        </is>
      </c>
      <c r="C3" s="2" t="inlineStr">
        <is>
          <t>destinos</t>
        </is>
      </c>
      <c r="D3" s="2" t="inlineStr">
        <is>
          <t>4 conector(es) só aparecem como destino, sem folha própria: AUT CAN BUS NODE, DATA CAN BUS NODE, GROUND POINT, PDM J1.</t>
        </is>
      </c>
      <c r="E3" s="2" t="n"/>
      <c r="F3" s="2" t="n"/>
      <c r="G3" s="2" t="n"/>
      <c r="H3" s="10" t="n"/>
      <c r="I3" s="9" t="inlineStr">
        <is>
          <t>aberto</t>
        </is>
      </c>
      <c r="J3" s="11">
        <f>COUNTIF(Wires!$U$2:$U$1000,"*"&amp;A3&amp;"*")</f>
        <v/>
      </c>
    </row>
  </sheetData>
  <autoFilter ref="A1:J3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2026-10-22T22:33:27Z</dcterms:created>
  <dcterms:modified xsi:type="dcterms:W3CDTF">2026-10-22T22:33:27Z</dcterms:modified>
</cp:coreProperties>
</file>