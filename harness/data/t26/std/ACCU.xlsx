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'Wires'!$A$1:$Z$67</definedName>
    <definedName name="_xlnm._FilterDatabase" localSheetId="2" hidden="1">'Connectors'!$A$1:$T$34</definedName>
    <definedName name="_xlnm._FilterDatabase" localSheetId="3" hidden="1">'Pins'!$A$1:$O$161</definedName>
    <definedName name="_xlnm._FilterDatabase" localSheetId="4" hidden="1">'Parts'!$A$1:$H$12</definedName>
    <definedName name="_xlnm._FilterDatabase" localSheetId="5" hidden="1">'Segments'!$A$1:$E$27</definedName>
    <definedName name="_xlnm._FilterDatabase" localSheetId="6" hidden="1">'Nodes'!$A$1:$E$8</definedName>
    <definedName name="_xlnm._FilterDatabase" localSheetId="7" hidden="1">'Issues'!$A$1:$J$18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C55A11"/>
    </font>
    <font>
      <name val="Arial"/>
      <color rgb="007F7F7F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migração</author>
  </authors>
  <commentList>
    <comment ref="H38" authorId="0" shapeId="0">
      <text>
        <t>cor vinda da folha AMS (ligação descartada, ver issue)</t>
      </text>
    </comment>
    <comment ref="H39" authorId="0" shapeId="0">
      <text>
        <t>cor vinda da folha AMS (ligação descartada, ver issue)</t>
      </text>
    </comment>
  </commentList>
</comments>
</file>

<file path=xl/comments/comment2.xml><?xml version="1.0" encoding="utf-8"?>
<comments xmlns="http://schemas.openxmlformats.org/spreadsheetml/2006/main">
  <authors>
    <author>migração</author>
  </authors>
  <commentList>
    <comment ref="C5" authorId="0" shapeId="0">
      <text>
        <t>Label corrigido na migração (I-02)</t>
      </text>
    </comment>
    <comment ref="C6" authorId="0" shapeId="0">
      <text>
        <t>Label corrigido na migração (I-02)</t>
      </text>
    </comment>
    <comment ref="C36" authorId="0" shapeId="0">
      <text>
        <t>Label corrigido na migração (I-06)</t>
      </text>
    </comment>
    <comment ref="C37" authorId="0" shapeId="0">
      <text>
        <t>Label corrigido na migração (I-06)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Acumulador: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Accu_Harnes_Pinouts.xlsx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W-ACCU-001</t>
        </is>
      </c>
      <c r="B2" s="9" t="inlineStr">
        <is>
          <t>ACCU</t>
        </is>
      </c>
      <c r="C2" s="9" t="inlineStr">
        <is>
          <t>RE_SDC</t>
        </is>
      </c>
      <c r="D2" s="9" t="inlineStr">
        <is>
          <t>ACCU J1</t>
        </is>
      </c>
      <c r="E2" s="9" t="inlineStr">
        <is>
          <t>A</t>
        </is>
      </c>
      <c r="F2" s="9" t="inlineStr">
        <is>
          <t>LATCH J1</t>
        </is>
      </c>
      <c r="G2" s="9" t="inlineStr">
        <is>
          <t>10</t>
        </is>
      </c>
      <c r="H2" s="9" t="inlineStr">
        <is>
          <t>BU</t>
        </is>
      </c>
      <c r="I2" s="10" t="n">
        <v>0.5</v>
      </c>
      <c r="J2" s="11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2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9" t="n">
        <v>435</v>
      </c>
      <c r="S2" s="9" t="inlineStr">
        <is>
          <t>Shutdown Circuit In</t>
        </is>
      </c>
      <c r="T2" s="9" t="inlineStr">
        <is>
          <t>2 pontas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13" t="inlineStr">
        <is>
          <t>W-ACCU-002</t>
        </is>
      </c>
      <c r="B3" s="9" t="inlineStr">
        <is>
          <t>ACCU</t>
        </is>
      </c>
      <c r="C3" s="9" t="inlineStr">
        <is>
          <t>ACC_SDC</t>
        </is>
      </c>
      <c r="D3" s="9" t="inlineStr">
        <is>
          <t>ACCU J1</t>
        </is>
      </c>
      <c r="E3" s="9" t="inlineStr">
        <is>
          <t>B</t>
        </is>
      </c>
      <c r="F3" s="9" t="inlineStr">
        <is>
          <t>ACCU J2</t>
        </is>
      </c>
      <c r="G3" s="9" t="inlineStr">
        <is>
          <t>IL-</t>
        </is>
      </c>
      <c r="H3" s="9" t="inlineStr">
        <is>
          <t>BU</t>
        </is>
      </c>
      <c r="I3" s="10" t="n">
        <v>0.5</v>
      </c>
      <c r="J3" s="11">
        <f>IF(I3="","",IFERROR(INDEX(Lists!$F$3:$F$17,MATCH(I3,Lists!$E$3:$E$17,0)),"?"))</f>
        <v/>
      </c>
      <c r="K3" s="9" t="inlineStr">
        <is>
          <t>N</t>
        </is>
      </c>
      <c r="L3" s="9" t="inlineStr">
        <is>
          <t>24V</t>
        </is>
      </c>
      <c r="M3" s="12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9" t="n">
        <v>665</v>
      </c>
      <c r="S3" s="9" t="inlineStr">
        <is>
          <t>Shutdown Circuit Out To TSMS</t>
        </is>
      </c>
      <c r="T3" s="9" t="inlineStr">
        <is>
          <t>1 ponta (folha ACCU J1)</t>
        </is>
      </c>
      <c r="U3" s="13" t="inlineStr">
        <is>
          <t>I-06</t>
        </is>
      </c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9" t="inlineStr">
        <is>
          <t>W-ACCU-003</t>
        </is>
      </c>
      <c r="B4" s="9" t="inlineStr">
        <is>
          <t>ACCU</t>
        </is>
      </c>
      <c r="C4" s="9" t="inlineStr">
        <is>
          <t>TSMS_SDC</t>
        </is>
      </c>
      <c r="D4" s="9" t="inlineStr">
        <is>
          <t>ACCU J1</t>
        </is>
      </c>
      <c r="E4" s="9" t="inlineStr">
        <is>
          <t>C</t>
        </is>
      </c>
      <c r="F4" s="9" t="inlineStr">
        <is>
          <t>AMS J11</t>
        </is>
      </c>
      <c r="G4" s="9" t="inlineStr">
        <is>
          <t>9</t>
        </is>
      </c>
      <c r="H4" s="9" t="inlineStr">
        <is>
          <t>BU</t>
        </is>
      </c>
      <c r="I4" s="10" t="n">
        <v>0.5</v>
      </c>
      <c r="J4" s="11">
        <f>IF(I4="","",IFERROR(INDEX(Lists!$F$3:$F$17,MATCH(I4,Lists!$E$3:$E$17,0)),"?"))</f>
        <v/>
      </c>
      <c r="K4" s="9" t="inlineStr">
        <is>
          <t>N</t>
        </is>
      </c>
      <c r="L4" s="9" t="inlineStr">
        <is>
          <t>24V</t>
        </is>
      </c>
      <c r="M4" s="12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9" t="n">
        <v>415</v>
      </c>
      <c r="S4" s="9" t="inlineStr">
        <is>
          <t>Shutdown Circuit Status</t>
        </is>
      </c>
      <c r="T4" s="9" t="inlineStr">
        <is>
          <t>2 pontas</t>
        </is>
      </c>
      <c r="U4" s="9" t="n"/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inlineStr">
        <is>
          <t>no Excel original: "ASMS J11"</t>
        </is>
      </c>
    </row>
    <row r="5">
      <c r="A5" s="9" t="inlineStr">
        <is>
          <t>W-ACCU-004</t>
        </is>
      </c>
      <c r="B5" s="9" t="inlineStr">
        <is>
          <t>ACCU</t>
        </is>
      </c>
      <c r="C5" s="9" t="inlineStr">
        <is>
          <t>PWT_CAN_L</t>
        </is>
      </c>
      <c r="D5" s="9" t="inlineStr">
        <is>
          <t>ACCU J1</t>
        </is>
      </c>
      <c r="E5" s="9" t="inlineStr">
        <is>
          <t>H</t>
        </is>
      </c>
      <c r="F5" s="9" t="inlineStr">
        <is>
          <t>AMS J13</t>
        </is>
      </c>
      <c r="G5" s="9" t="inlineStr">
        <is>
          <t>1</t>
        </is>
      </c>
      <c r="H5" s="9" t="inlineStr">
        <is>
          <t>BU</t>
        </is>
      </c>
      <c r="I5" s="10" t="n">
        <v>0.5</v>
      </c>
      <c r="J5" s="11">
        <f>IF(I5="","",IFERROR(INDEX(Lists!$F$3:$F$17,MATCH(I5,Lists!$E$3:$E$17,0)),"?"))</f>
        <v/>
      </c>
      <c r="K5" s="9" t="inlineStr">
        <is>
          <t>N</t>
        </is>
      </c>
      <c r="L5" s="9" t="inlineStr">
        <is>
          <t>5V</t>
        </is>
      </c>
      <c r="M5" s="12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10" t="inlineStr">
        <is>
          <t>TP1</t>
        </is>
      </c>
      <c r="Q5" s="9" t="n"/>
      <c r="R5" s="9" t="n">
        <v>435</v>
      </c>
      <c r="S5" s="9" t="inlineStr">
        <is>
          <t>PowerTrain Can BUS Low</t>
        </is>
      </c>
      <c r="T5" s="9" t="inlineStr">
        <is>
          <t>2 pontas</t>
        </is>
      </c>
      <c r="U5" s="9" t="n"/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9" t="inlineStr">
        <is>
          <t>W-ACCU-005</t>
        </is>
      </c>
      <c r="B6" s="9" t="inlineStr">
        <is>
          <t>ACCU</t>
        </is>
      </c>
      <c r="C6" s="9" t="inlineStr">
        <is>
          <t>PWT_CAN_H</t>
        </is>
      </c>
      <c r="D6" s="9" t="inlineStr">
        <is>
          <t>ACCU J1</t>
        </is>
      </c>
      <c r="E6" s="9" t="inlineStr">
        <is>
          <t>J</t>
        </is>
      </c>
      <c r="F6" s="9" t="inlineStr">
        <is>
          <t>AMS J13</t>
        </is>
      </c>
      <c r="G6" s="9" t="inlineStr">
        <is>
          <t>2</t>
        </is>
      </c>
      <c r="H6" s="9" t="inlineStr">
        <is>
          <t>RD</t>
        </is>
      </c>
      <c r="I6" s="10" t="n">
        <v>0.5</v>
      </c>
      <c r="J6" s="11">
        <f>IF(I6="","",IFERROR(INDEX(Lists!$F$3:$F$17,MATCH(I6,Lists!$E$3:$E$17,0)),"?"))</f>
        <v/>
      </c>
      <c r="K6" s="9" t="inlineStr">
        <is>
          <t>N</t>
        </is>
      </c>
      <c r="L6" s="9" t="inlineStr">
        <is>
          <t>5V</t>
        </is>
      </c>
      <c r="M6" s="12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10" t="inlineStr">
        <is>
          <t>TP1</t>
        </is>
      </c>
      <c r="Q6" s="9" t="n"/>
      <c r="R6" s="9" t="n">
        <v>435</v>
      </c>
      <c r="S6" s="9" t="inlineStr">
        <is>
          <t>PowerTrain Can BUS High</t>
        </is>
      </c>
      <c r="T6" s="9" t="inlineStr">
        <is>
          <t>2 pontas</t>
        </is>
      </c>
      <c r="U6" s="9" t="n"/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9" t="inlineStr">
        <is>
          <t>W-ACCU-006</t>
        </is>
      </c>
      <c r="B7" s="9" t="inlineStr">
        <is>
          <t>ACCU</t>
        </is>
      </c>
      <c r="C7" s="9" t="inlineStr">
        <is>
          <t>CHG_CAN_L</t>
        </is>
      </c>
      <c r="D7" s="9" t="inlineStr">
        <is>
          <t>ACCU J1</t>
        </is>
      </c>
      <c r="E7" s="9" t="inlineStr">
        <is>
          <t>K</t>
        </is>
      </c>
      <c r="F7" s="9" t="inlineStr">
        <is>
          <t>AMS J15</t>
        </is>
      </c>
      <c r="G7" s="9" t="inlineStr">
        <is>
          <t>1</t>
        </is>
      </c>
      <c r="H7" s="9" t="inlineStr">
        <is>
          <t>VT</t>
        </is>
      </c>
      <c r="I7" s="10" t="n">
        <v>0.5</v>
      </c>
      <c r="J7" s="11">
        <f>IF(I7="","",IFERROR(INDEX(Lists!$F$3:$F$17,MATCH(I7,Lists!$E$3:$E$17,0)),"?"))</f>
        <v/>
      </c>
      <c r="K7" s="9" t="inlineStr">
        <is>
          <t>N</t>
        </is>
      </c>
      <c r="L7" s="9" t="inlineStr">
        <is>
          <t>5V</t>
        </is>
      </c>
      <c r="M7" s="12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10" t="inlineStr">
        <is>
          <t>TP2</t>
        </is>
      </c>
      <c r="Q7" s="9" t="n"/>
      <c r="R7" s="9" t="n">
        <v>435</v>
      </c>
      <c r="S7" s="9" t="inlineStr">
        <is>
          <t>Charger Can BUS Low</t>
        </is>
      </c>
      <c r="T7" s="9" t="inlineStr">
        <is>
          <t>2 pontas</t>
        </is>
      </c>
      <c r="U7" s="9" t="n"/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  <row r="8">
      <c r="A8" s="9" t="inlineStr">
        <is>
          <t>W-ACCU-007</t>
        </is>
      </c>
      <c r="B8" s="9" t="inlineStr">
        <is>
          <t>ACCU</t>
        </is>
      </c>
      <c r="C8" s="9" t="inlineStr">
        <is>
          <t>CHG_CAN_H</t>
        </is>
      </c>
      <c r="D8" s="9" t="inlineStr">
        <is>
          <t>ACCU J1</t>
        </is>
      </c>
      <c r="E8" s="9" t="inlineStr">
        <is>
          <t>L</t>
        </is>
      </c>
      <c r="F8" s="9" t="inlineStr">
        <is>
          <t>AMS J15</t>
        </is>
      </c>
      <c r="G8" s="9" t="inlineStr">
        <is>
          <t>2</t>
        </is>
      </c>
      <c r="H8" s="9" t="inlineStr">
        <is>
          <t>GN</t>
        </is>
      </c>
      <c r="I8" s="10" t="n">
        <v>0.5</v>
      </c>
      <c r="J8" s="11">
        <f>IF(I8="","",IFERROR(INDEX(Lists!$F$3:$F$17,MATCH(I8,Lists!$E$3:$E$17,0)),"?"))</f>
        <v/>
      </c>
      <c r="K8" s="9" t="inlineStr">
        <is>
          <t>N</t>
        </is>
      </c>
      <c r="L8" s="9" t="inlineStr">
        <is>
          <t>5V</t>
        </is>
      </c>
      <c r="M8" s="12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10" t="inlineStr">
        <is>
          <t>TP2</t>
        </is>
      </c>
      <c r="Q8" s="9" t="n"/>
      <c r="R8" s="9" t="n">
        <v>435</v>
      </c>
      <c r="S8" s="9" t="inlineStr">
        <is>
          <t>Chager Can BUS High</t>
        </is>
      </c>
      <c r="T8" s="9" t="inlineStr">
        <is>
          <t>2 pontas</t>
        </is>
      </c>
      <c r="U8" s="9" t="n"/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9" t="n"/>
      <c r="Z8" s="9" t="n"/>
    </row>
    <row r="9">
      <c r="A9" s="9" t="inlineStr">
        <is>
          <t>W-ACCU-008</t>
        </is>
      </c>
      <c r="B9" s="9" t="inlineStr">
        <is>
          <t>ACCU</t>
        </is>
      </c>
      <c r="C9" s="9" t="inlineStr">
        <is>
          <t>RESET</t>
        </is>
      </c>
      <c r="D9" s="9" t="inlineStr">
        <is>
          <t>ACCU J1</t>
        </is>
      </c>
      <c r="E9" s="9" t="inlineStr">
        <is>
          <t>V</t>
        </is>
      </c>
      <c r="F9" s="9" t="inlineStr">
        <is>
          <t>LATCH J1</t>
        </is>
      </c>
      <c r="G9" s="9" t="inlineStr">
        <is>
          <t>2</t>
        </is>
      </c>
      <c r="H9" s="9" t="inlineStr">
        <is>
          <t>WH</t>
        </is>
      </c>
      <c r="I9" s="10" t="n">
        <v>0.5</v>
      </c>
      <c r="J9" s="11">
        <f>IF(I9="","",IFERROR(INDEX(Lists!$F$3:$F$17,MATCH(I9,Lists!$E$3:$E$17,0)),"?"))</f>
        <v/>
      </c>
      <c r="K9" s="9" t="inlineStr">
        <is>
          <t>N</t>
        </is>
      </c>
      <c r="L9" s="9" t="inlineStr">
        <is>
          <t>0V</t>
        </is>
      </c>
      <c r="M9" s="12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9" t="n"/>
      <c r="Q9" s="9" t="n"/>
      <c r="R9" s="9" t="n">
        <v>435</v>
      </c>
      <c r="S9" s="9" t="inlineStr">
        <is>
          <t>Signal from Reset Button</t>
        </is>
      </c>
      <c r="T9" s="9" t="inlineStr">
        <is>
          <t>2 pontas</t>
        </is>
      </c>
      <c r="U9" s="9" t="n"/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9" t="n"/>
      <c r="Z9" s="9" t="n"/>
    </row>
    <row r="10">
      <c r="A10" s="9" t="inlineStr">
        <is>
          <t>W-ACCU-009</t>
        </is>
      </c>
      <c r="B10" s="9" t="inlineStr">
        <is>
          <t>ACCU</t>
        </is>
      </c>
      <c r="C10" s="9" t="inlineStr">
        <is>
          <t>BMS_LED</t>
        </is>
      </c>
      <c r="D10" s="9" t="inlineStr">
        <is>
          <t>ACCU J1</t>
        </is>
      </c>
      <c r="E10" s="9" t="inlineStr">
        <is>
          <t>W</t>
        </is>
      </c>
      <c r="F10" s="9" t="inlineStr">
        <is>
          <t>LATCH J1</t>
        </is>
      </c>
      <c r="G10" s="9" t="inlineStr">
        <is>
          <t>7</t>
        </is>
      </c>
      <c r="H10" s="9" t="inlineStr">
        <is>
          <t>WH</t>
        </is>
      </c>
      <c r="I10" s="10" t="n">
        <v>0.5</v>
      </c>
      <c r="J10" s="11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24V</t>
        </is>
      </c>
      <c r="M10" s="12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9" t="n"/>
      <c r="Q10" s="9" t="n"/>
      <c r="R10" s="9" t="n">
        <v>435</v>
      </c>
      <c r="S10" s="9" t="inlineStr">
        <is>
          <t>Signal for BMS Cockpit LED</t>
        </is>
      </c>
      <c r="T10" s="9" t="inlineStr">
        <is>
          <t>2 pontas</t>
        </is>
      </c>
      <c r="U10" s="9" t="n"/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9" t="n"/>
      <c r="Z10" s="9" t="n"/>
    </row>
    <row r="11">
      <c r="A11" s="9" t="inlineStr">
        <is>
          <t>W-ACCU-010</t>
        </is>
      </c>
      <c r="B11" s="9" t="inlineStr">
        <is>
          <t>ACCU</t>
        </is>
      </c>
      <c r="C11" s="9" t="inlineStr">
        <is>
          <t>IMD_LED</t>
        </is>
      </c>
      <c r="D11" s="9" t="inlineStr">
        <is>
          <t>ACCU J1</t>
        </is>
      </c>
      <c r="E11" s="9" t="inlineStr">
        <is>
          <t>X</t>
        </is>
      </c>
      <c r="F11" s="9" t="inlineStr">
        <is>
          <t>LATCH J1</t>
        </is>
      </c>
      <c r="G11" s="9" t="inlineStr">
        <is>
          <t>8</t>
        </is>
      </c>
      <c r="H11" s="9" t="inlineStr">
        <is>
          <t>WH</t>
        </is>
      </c>
      <c r="I11" s="10" t="n">
        <v>0.5</v>
      </c>
      <c r="J11" s="11">
        <f>IF(I11="","",IFERROR(INDEX(Lists!$F$3:$F$17,MATCH(I11,Lists!$E$3:$E$17,0)),"?"))</f>
        <v/>
      </c>
      <c r="K11" s="9" t="inlineStr">
        <is>
          <t>N</t>
        </is>
      </c>
      <c r="L11" s="9" t="inlineStr">
        <is>
          <t>24V</t>
        </is>
      </c>
      <c r="M11" s="12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9" t="n"/>
      <c r="Q11" s="9" t="n"/>
      <c r="R11" s="9" t="n">
        <v>435</v>
      </c>
      <c r="S11" s="9" t="inlineStr">
        <is>
          <t>Signal for IMD Cockpit LED</t>
        </is>
      </c>
      <c r="T11" s="9" t="inlineStr">
        <is>
          <t>2 pontas</t>
        </is>
      </c>
      <c r="U11" s="9" t="n"/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9" t="n"/>
      <c r="Z11" s="9" t="n"/>
    </row>
    <row r="12">
      <c r="A12" s="13" t="inlineStr">
        <is>
          <t>W-ACCU-011</t>
        </is>
      </c>
      <c r="B12" s="9" t="inlineStr">
        <is>
          <t>ACCU</t>
        </is>
      </c>
      <c r="C12" s="9" t="inlineStr">
        <is>
          <t>TSAL_GREEN_C</t>
        </is>
      </c>
      <c r="D12" s="9" t="inlineStr">
        <is>
          <t>ACCU J1</t>
        </is>
      </c>
      <c r="E12" s="9" t="inlineStr">
        <is>
          <t>a</t>
        </is>
      </c>
      <c r="F12" s="9" t="inlineStr">
        <is>
          <t>TSAL D2</t>
        </is>
      </c>
      <c r="G12" s="9" t="inlineStr">
        <is>
          <t>10</t>
        </is>
      </c>
      <c r="H12" s="9" t="inlineStr">
        <is>
          <t>WH</t>
        </is>
      </c>
      <c r="I12" s="10" t="n">
        <v>0.5</v>
      </c>
      <c r="J12" s="11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3.3V</t>
        </is>
      </c>
      <c r="M12" s="12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9" t="n"/>
      <c r="Q12" s="9" t="n"/>
      <c r="R12" s="9" t="n">
        <v>460</v>
      </c>
      <c r="S12" s="9" t="inlineStr">
        <is>
          <t>Cockpit LED Power Supply</t>
        </is>
      </c>
      <c r="T12" s="9" t="inlineStr">
        <is>
          <t>2 pontas</t>
        </is>
      </c>
      <c r="U12" s="13" t="inlineStr">
        <is>
          <t>I-10</t>
        </is>
      </c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9" t="n"/>
      <c r="Z12" s="9" t="n"/>
    </row>
    <row r="13">
      <c r="A13" s="13" t="inlineStr">
        <is>
          <t>W-ACCU-012</t>
        </is>
      </c>
      <c r="B13" s="9" t="inlineStr">
        <is>
          <t>ACCU</t>
        </is>
      </c>
      <c r="C13" s="9" t="inlineStr">
        <is>
          <t>TSAL_GREEN_1</t>
        </is>
      </c>
      <c r="D13" s="9" t="inlineStr">
        <is>
          <t>ACCU J1</t>
        </is>
      </c>
      <c r="E13" s="9" t="inlineStr">
        <is>
          <t>b</t>
        </is>
      </c>
      <c r="F13" s="9" t="inlineStr">
        <is>
          <t>TSAL D2</t>
        </is>
      </c>
      <c r="G13" s="9" t="inlineStr">
        <is>
          <t>8</t>
        </is>
      </c>
      <c r="H13" s="9" t="inlineStr">
        <is>
          <t>WH</t>
        </is>
      </c>
      <c r="I13" s="10" t="n">
        <v>0.5</v>
      </c>
      <c r="J13" s="11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3.3V</t>
        </is>
      </c>
      <c r="M13" s="12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9" t="n"/>
      <c r="Q13" s="9" t="n"/>
      <c r="R13" s="9" t="n">
        <v>460</v>
      </c>
      <c r="S13" s="9" t="inlineStr">
        <is>
          <t>TSAL LEDs Power Supply</t>
        </is>
      </c>
      <c r="T13" s="9" t="inlineStr">
        <is>
          <t>2 pontas</t>
        </is>
      </c>
      <c r="U13" s="13" t="inlineStr">
        <is>
          <t>I-10</t>
        </is>
      </c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9" t="n"/>
      <c r="Z13" s="9" t="n"/>
    </row>
    <row r="14">
      <c r="A14" s="9" t="inlineStr">
        <is>
          <t>W-ACCU-013</t>
        </is>
      </c>
      <c r="B14" s="9" t="inlineStr">
        <is>
          <t>ACCU</t>
        </is>
      </c>
      <c r="C14" s="9" t="inlineStr">
        <is>
          <t>CHASSIS_GND</t>
        </is>
      </c>
      <c r="D14" s="9" t="inlineStr">
        <is>
          <t>ACCU J1</t>
        </is>
      </c>
      <c r="E14" s="9" t="inlineStr">
        <is>
          <t>e</t>
        </is>
      </c>
      <c r="F14" s="9" t="inlineStr">
        <is>
          <t>IMD XK1A</t>
        </is>
      </c>
      <c r="G14" s="9" t="inlineStr">
        <is>
          <t>3</t>
        </is>
      </c>
      <c r="H14" s="9" t="inlineStr">
        <is>
          <t>BN</t>
        </is>
      </c>
      <c r="I14" s="10" t="n">
        <v>0.5</v>
      </c>
      <c r="J14" s="11">
        <f>IF(I14="","",IFERROR(INDEX(Lists!$F$3:$F$17,MATCH(I14,Lists!$E$3:$E$17,0)),"?"))</f>
        <v/>
      </c>
      <c r="K14" s="9" t="inlineStr">
        <is>
          <t>N</t>
        </is>
      </c>
      <c r="L14" s="9" t="inlineStr">
        <is>
          <t>0V</t>
        </is>
      </c>
      <c r="M14" s="12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9" t="n"/>
      <c r="Q14" s="9" t="n"/>
      <c r="R14" s="9" t="n">
        <v>340</v>
      </c>
      <c r="S14" s="9" t="inlineStr">
        <is>
          <t>Chassis Ground Signal</t>
        </is>
      </c>
      <c r="T14" s="9" t="inlineStr">
        <is>
          <t>2 pontas</t>
        </is>
      </c>
      <c r="U14" s="9" t="n"/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9" t="n"/>
      <c r="Z14" s="9" t="n"/>
    </row>
    <row r="15">
      <c r="A15" s="13" t="inlineStr">
        <is>
          <t>W-ACCU-014</t>
        </is>
      </c>
      <c r="B15" s="9" t="inlineStr">
        <is>
          <t>ACCU</t>
        </is>
      </c>
      <c r="C15" s="9" t="inlineStr">
        <is>
          <t>AMS_VCC</t>
        </is>
      </c>
      <c r="D15" s="9" t="inlineStr">
        <is>
          <t>ACCU J1</t>
        </is>
      </c>
      <c r="E15" s="9" t="inlineStr">
        <is>
          <t>f</t>
        </is>
      </c>
      <c r="F15" s="9" t="inlineStr">
        <is>
          <t>AMS J12</t>
        </is>
      </c>
      <c r="G15" s="9" t="inlineStr">
        <is>
          <t>12</t>
        </is>
      </c>
      <c r="H15" s="9" t="inlineStr">
        <is>
          <t>YE</t>
        </is>
      </c>
      <c r="I15" s="10" t="n">
        <v>0.5</v>
      </c>
      <c r="J15" s="11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24V</t>
        </is>
      </c>
      <c r="M15" s="12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9" t="n"/>
      <c r="Q15" s="9" t="n"/>
      <c r="R15" s="9" t="n">
        <v>435</v>
      </c>
      <c r="S15" s="9" t="inlineStr">
        <is>
          <t>Board Power Supply</t>
        </is>
      </c>
      <c r="T15" s="9" t="inlineStr">
        <is>
          <t>2 pontas</t>
        </is>
      </c>
      <c r="U15" s="13" t="inlineStr">
        <is>
          <t>I-07</t>
        </is>
      </c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9" t="n"/>
      <c r="Z15" s="9" t="n"/>
    </row>
    <row r="16">
      <c r="A16" s="13" t="inlineStr">
        <is>
          <t>W-ACCU-015</t>
        </is>
      </c>
      <c r="B16" s="9" t="inlineStr">
        <is>
          <t>ACCU</t>
        </is>
      </c>
      <c r="C16" s="9" t="inlineStr">
        <is>
          <t>AUX_VCC</t>
        </is>
      </c>
      <c r="D16" s="9" t="inlineStr">
        <is>
          <t>ACCU J1</t>
        </is>
      </c>
      <c r="E16" s="9" t="inlineStr">
        <is>
          <t>g</t>
        </is>
      </c>
      <c r="F16" s="9" t="inlineStr">
        <is>
          <t>SPL AUX_VCC</t>
        </is>
      </c>
      <c r="G16" s="9" t="inlineStr">
        <is>
          <t>S</t>
        </is>
      </c>
      <c r="H16" s="9" t="inlineStr">
        <is>
          <t>YE</t>
        </is>
      </c>
      <c r="I16" s="10" t="n">
        <v>0.5</v>
      </c>
      <c r="J16" s="11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24V</t>
        </is>
      </c>
      <c r="M16" s="12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9" t="n"/>
      <c r="Q16" s="9" t="n"/>
      <c r="R16" s="12" t="n"/>
      <c r="S16" s="9" t="inlineStr">
        <is>
          <t>Tsal &amp; Latch &amp; IMD Power Supply (Accumulator)</t>
        </is>
      </c>
      <c r="T16" s="9" t="inlineStr">
        <is>
          <t>1 ponta (folha ACCU J1)</t>
        </is>
      </c>
      <c r="U16" s="13" t="inlineStr">
        <is>
          <t>I-15</t>
        </is>
      </c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9" t="n"/>
      <c r="Z16" s="9" t="n"/>
    </row>
    <row r="17">
      <c r="A17" s="13" t="inlineStr">
        <is>
          <t>W-ACCU-016</t>
        </is>
      </c>
      <c r="B17" s="9" t="inlineStr">
        <is>
          <t>ACCU</t>
        </is>
      </c>
      <c r="C17" s="9" t="inlineStr">
        <is>
          <t>AUX_VCC</t>
        </is>
      </c>
      <c r="D17" s="9" t="inlineStr">
        <is>
          <t>SPL AUX_VCC</t>
        </is>
      </c>
      <c r="E17" s="9" t="inlineStr">
        <is>
          <t>S</t>
        </is>
      </c>
      <c r="F17" s="9" t="inlineStr">
        <is>
          <t>TSAL D2</t>
        </is>
      </c>
      <c r="G17" s="9" t="inlineStr">
        <is>
          <t>6</t>
        </is>
      </c>
      <c r="H17" s="9" t="inlineStr">
        <is>
          <t>YE</t>
        </is>
      </c>
      <c r="I17" s="10" t="n">
        <v>0.5</v>
      </c>
      <c r="J17" s="11">
        <f>IF(I17="","",IFERROR(INDEX(Lists!$F$3:$F$17,MATCH(I17,Lists!$E$3:$E$17,0)),"?"))</f>
        <v/>
      </c>
      <c r="K17" s="9" t="inlineStr">
        <is>
          <t>N</t>
        </is>
      </c>
      <c r="L17" s="9" t="inlineStr">
        <is>
          <t>24V</t>
        </is>
      </c>
      <c r="M17" s="12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9" t="n"/>
      <c r="Q17" s="9" t="n"/>
      <c r="R17" s="12" t="n"/>
      <c r="S17" s="9" t="inlineStr">
        <is>
          <t>Board Power Supply</t>
        </is>
      </c>
      <c r="T17" s="9" t="inlineStr">
        <is>
          <t>2 pontas</t>
        </is>
      </c>
      <c r="U17" s="13" t="inlineStr">
        <is>
          <t>I-15</t>
        </is>
      </c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9" t="n"/>
      <c r="Z17" s="9" t="n"/>
    </row>
    <row r="18">
      <c r="A18" s="13" t="inlineStr">
        <is>
          <t>W-ACCU-017</t>
        </is>
      </c>
      <c r="B18" s="9" t="inlineStr">
        <is>
          <t>ACCU</t>
        </is>
      </c>
      <c r="C18" s="9" t="inlineStr">
        <is>
          <t>AUX_VCC</t>
        </is>
      </c>
      <c r="D18" s="9" t="inlineStr">
        <is>
          <t>SPL AUX_VCC</t>
        </is>
      </c>
      <c r="E18" s="9" t="inlineStr">
        <is>
          <t>S</t>
        </is>
      </c>
      <c r="F18" s="9" t="inlineStr">
        <is>
          <t>LATCH J1</t>
        </is>
      </c>
      <c r="G18" s="9" t="inlineStr">
        <is>
          <t>5</t>
        </is>
      </c>
      <c r="H18" s="9" t="inlineStr">
        <is>
          <t>YE</t>
        </is>
      </c>
      <c r="I18" s="10" t="n">
        <v>0.5</v>
      </c>
      <c r="J18" s="11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24V</t>
        </is>
      </c>
      <c r="M18" s="12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9" t="n"/>
      <c r="Q18" s="9" t="n"/>
      <c r="R18" s="12" t="n"/>
      <c r="S18" s="9" t="inlineStr">
        <is>
          <t>Tsal &amp; Latch &amp; IMD Power Supply (Accumulator)</t>
        </is>
      </c>
      <c r="T18" s="9" t="inlineStr">
        <is>
          <t>1 ponta (folha ACCU J1)</t>
        </is>
      </c>
      <c r="U18" s="13" t="inlineStr">
        <is>
          <t>I-01, I-15</t>
        </is>
      </c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9" t="n"/>
      <c r="Z18" s="9" t="n"/>
    </row>
    <row r="19">
      <c r="A19" s="13" t="inlineStr">
        <is>
          <t>W-ACCU-018</t>
        </is>
      </c>
      <c r="B19" s="9" t="inlineStr">
        <is>
          <t>ACCU</t>
        </is>
      </c>
      <c r="C19" s="9" t="inlineStr">
        <is>
          <t>AUX_VCC</t>
        </is>
      </c>
      <c r="D19" s="9" t="inlineStr">
        <is>
          <t>SPL AUX_VCC</t>
        </is>
      </c>
      <c r="E19" s="9" t="inlineStr">
        <is>
          <t>S</t>
        </is>
      </c>
      <c r="F19" s="9" t="inlineStr">
        <is>
          <t>IMD XK1A</t>
        </is>
      </c>
      <c r="G19" s="9" t="inlineStr">
        <is>
          <t>2</t>
        </is>
      </c>
      <c r="H19" s="9" t="inlineStr">
        <is>
          <t>YE</t>
        </is>
      </c>
      <c r="I19" s="10" t="n">
        <v>0.5</v>
      </c>
      <c r="J19" s="11">
        <f>IF(I19="","",IFERROR(INDEX(Lists!$F$3:$F$17,MATCH(I19,Lists!$E$3:$E$17,0)),"?"))</f>
        <v/>
      </c>
      <c r="K19" s="9" t="inlineStr">
        <is>
          <t>N</t>
        </is>
      </c>
      <c r="L19" s="9" t="inlineStr">
        <is>
          <t>24V</t>
        </is>
      </c>
      <c r="M19" s="12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9" t="n"/>
      <c r="Q19" s="9" t="n"/>
      <c r="R19" s="12" t="n"/>
      <c r="S19" s="9" t="inlineStr">
        <is>
          <t>Board Power Supply</t>
        </is>
      </c>
      <c r="T19" s="9" t="inlineStr">
        <is>
          <t>2 pontas</t>
        </is>
      </c>
      <c r="U19" s="13" t="inlineStr">
        <is>
          <t>I-15</t>
        </is>
      </c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9" t="n"/>
      <c r="Z19" s="9" t="n"/>
    </row>
    <row r="20">
      <c r="A20" s="13" t="inlineStr">
        <is>
          <t>W-ACCU-019</t>
        </is>
      </c>
      <c r="B20" s="9" t="inlineStr">
        <is>
          <t>ACCU</t>
        </is>
      </c>
      <c r="C20" s="9" t="inlineStr">
        <is>
          <t>AMS_GND</t>
        </is>
      </c>
      <c r="D20" s="9" t="inlineStr">
        <is>
          <t>ACCU J1</t>
        </is>
      </c>
      <c r="E20" s="9" t="inlineStr">
        <is>
          <t>h</t>
        </is>
      </c>
      <c r="F20" s="9" t="inlineStr">
        <is>
          <t>AMS J12</t>
        </is>
      </c>
      <c r="G20" s="9" t="inlineStr">
        <is>
          <t>11</t>
        </is>
      </c>
      <c r="H20" s="9" t="inlineStr">
        <is>
          <t>BN</t>
        </is>
      </c>
      <c r="I20" s="10" t="n">
        <v>0.5</v>
      </c>
      <c r="J20" s="11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0V</t>
        </is>
      </c>
      <c r="M20" s="12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9" t="n"/>
      <c r="Q20" s="9" t="n"/>
      <c r="R20" s="9" t="n">
        <v>435</v>
      </c>
      <c r="S20" s="9" t="inlineStr">
        <is>
          <t>Power Supply Ground (Board)</t>
        </is>
      </c>
      <c r="T20" s="9" t="inlineStr">
        <is>
          <t>2 pontas</t>
        </is>
      </c>
      <c r="U20" s="13" t="inlineStr">
        <is>
          <t>I-07</t>
        </is>
      </c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9" t="n"/>
      <c r="Z20" s="9" t="n"/>
    </row>
    <row r="21">
      <c r="A21" s="13" t="inlineStr">
        <is>
          <t>W-ACCU-020</t>
        </is>
      </c>
      <c r="B21" s="9" t="inlineStr">
        <is>
          <t>ACCU</t>
        </is>
      </c>
      <c r="C21" s="9" t="inlineStr">
        <is>
          <t>AUX_GND</t>
        </is>
      </c>
      <c r="D21" s="9" t="inlineStr">
        <is>
          <t>ACCU J1</t>
        </is>
      </c>
      <c r="E21" s="9" t="inlineStr">
        <is>
          <t>j</t>
        </is>
      </c>
      <c r="F21" s="9" t="inlineStr">
        <is>
          <t>SPL AUX_GND</t>
        </is>
      </c>
      <c r="G21" s="9" t="inlineStr">
        <is>
          <t>S</t>
        </is>
      </c>
      <c r="H21" s="9" t="inlineStr">
        <is>
          <t>BN</t>
        </is>
      </c>
      <c r="I21" s="10" t="n">
        <v>0.5</v>
      </c>
      <c r="J21" s="11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0V</t>
        </is>
      </c>
      <c r="M21" s="12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9" t="n"/>
      <c r="Q21" s="9" t="n"/>
      <c r="R21" s="12" t="n"/>
      <c r="S21" s="9" t="inlineStr">
        <is>
          <t>Tsal &amp; Latch &amp; IMD Power Supply Ground</t>
        </is>
      </c>
      <c r="T21" s="9" t="inlineStr">
        <is>
          <t>1 ponta (folha ACCU J1)</t>
        </is>
      </c>
      <c r="U21" s="13" t="inlineStr">
        <is>
          <t>I-15</t>
        </is>
      </c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9" t="n"/>
      <c r="Z21" s="9" t="n"/>
    </row>
    <row r="22">
      <c r="A22" s="13" t="inlineStr">
        <is>
          <t>W-ACCU-021</t>
        </is>
      </c>
      <c r="B22" s="9" t="inlineStr">
        <is>
          <t>ACCU</t>
        </is>
      </c>
      <c r="C22" s="9" t="inlineStr">
        <is>
          <t>AUX_GND</t>
        </is>
      </c>
      <c r="D22" s="9" t="inlineStr">
        <is>
          <t>SPL AUX_GND</t>
        </is>
      </c>
      <c r="E22" s="9" t="inlineStr">
        <is>
          <t>S</t>
        </is>
      </c>
      <c r="F22" s="9" t="inlineStr">
        <is>
          <t>TSAL D2</t>
        </is>
      </c>
      <c r="G22" s="9" t="inlineStr">
        <is>
          <t>1</t>
        </is>
      </c>
      <c r="H22" s="9" t="inlineStr">
        <is>
          <t>BN</t>
        </is>
      </c>
      <c r="I22" s="10" t="n">
        <v>0.5</v>
      </c>
      <c r="J22" s="11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0V</t>
        </is>
      </c>
      <c r="M22" s="12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9" t="n"/>
      <c r="Q22" s="9" t="n"/>
      <c r="R22" s="12" t="n"/>
      <c r="S22" s="9" t="inlineStr">
        <is>
          <t>Power Supply Ground (Board)</t>
        </is>
      </c>
      <c r="T22" s="9" t="inlineStr">
        <is>
          <t>2 pontas</t>
        </is>
      </c>
      <c r="U22" s="13" t="inlineStr">
        <is>
          <t>I-15</t>
        </is>
      </c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9" t="n"/>
      <c r="Z22" s="9" t="n"/>
    </row>
    <row r="23">
      <c r="A23" s="13" t="inlineStr">
        <is>
          <t>W-ACCU-022</t>
        </is>
      </c>
      <c r="B23" s="9" t="inlineStr">
        <is>
          <t>ACCU</t>
        </is>
      </c>
      <c r="C23" s="9" t="inlineStr">
        <is>
          <t>AUX_GND</t>
        </is>
      </c>
      <c r="D23" s="9" t="inlineStr">
        <is>
          <t>SPL AUX_GND</t>
        </is>
      </c>
      <c r="E23" s="9" t="inlineStr">
        <is>
          <t>S</t>
        </is>
      </c>
      <c r="F23" s="9" t="inlineStr">
        <is>
          <t>LATCH J1</t>
        </is>
      </c>
      <c r="G23" s="9" t="inlineStr">
        <is>
          <t>6</t>
        </is>
      </c>
      <c r="H23" s="9" t="inlineStr">
        <is>
          <t>BN</t>
        </is>
      </c>
      <c r="I23" s="10" t="n">
        <v>0.5</v>
      </c>
      <c r="J23" s="11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0V</t>
        </is>
      </c>
      <c r="M23" s="12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9" t="n"/>
      <c r="Q23" s="9" t="n"/>
      <c r="R23" s="12" t="n"/>
      <c r="S23" s="9" t="inlineStr">
        <is>
          <t>Tsal &amp; Latch &amp; IMD Power Supply Ground</t>
        </is>
      </c>
      <c r="T23" s="9" t="inlineStr">
        <is>
          <t>1 ponta (folha ACCU J1)</t>
        </is>
      </c>
      <c r="U23" s="13" t="inlineStr">
        <is>
          <t>I-01, I-15</t>
        </is>
      </c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9" t="n"/>
      <c r="Z23" s="9" t="n"/>
    </row>
    <row r="24">
      <c r="A24" s="13" t="inlineStr">
        <is>
          <t>W-ACCU-023</t>
        </is>
      </c>
      <c r="B24" s="9" t="inlineStr">
        <is>
          <t>ACCU</t>
        </is>
      </c>
      <c r="C24" s="9" t="inlineStr">
        <is>
          <t>AUX_GND</t>
        </is>
      </c>
      <c r="D24" s="9" t="inlineStr">
        <is>
          <t>SPL AUX_GND</t>
        </is>
      </c>
      <c r="E24" s="9" t="inlineStr">
        <is>
          <t>S</t>
        </is>
      </c>
      <c r="F24" s="9" t="inlineStr">
        <is>
          <t>IMD XK1A</t>
        </is>
      </c>
      <c r="G24" s="9" t="inlineStr">
        <is>
          <t>1</t>
        </is>
      </c>
      <c r="H24" s="9" t="inlineStr">
        <is>
          <t>BN</t>
        </is>
      </c>
      <c r="I24" s="10" t="n">
        <v>0.5</v>
      </c>
      <c r="J24" s="11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0V</t>
        </is>
      </c>
      <c r="M24" s="12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9" t="n"/>
      <c r="Q24" s="9" t="n"/>
      <c r="R24" s="12" t="n"/>
      <c r="S24" s="9" t="inlineStr">
        <is>
          <t>Power Supply Ground (Board)</t>
        </is>
      </c>
      <c r="T24" s="9" t="inlineStr">
        <is>
          <t>2 pontas</t>
        </is>
      </c>
      <c r="U24" s="13" t="inlineStr">
        <is>
          <t>I-15</t>
        </is>
      </c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9" t="n"/>
      <c r="Z24" s="9" t="n"/>
    </row>
    <row r="25">
      <c r="A25" s="9" t="inlineStr">
        <is>
          <t>W-ACCU-024</t>
        </is>
      </c>
      <c r="B25" s="9" t="inlineStr">
        <is>
          <t>ACCU</t>
        </is>
      </c>
      <c r="C25" s="9" t="inlineStr">
        <is>
          <t>AIR-_SDC</t>
        </is>
      </c>
      <c r="D25" s="9" t="inlineStr">
        <is>
          <t>AMS J11</t>
        </is>
      </c>
      <c r="E25" s="9" t="inlineStr">
        <is>
          <t>3</t>
        </is>
      </c>
      <c r="F25" s="9" t="inlineStr">
        <is>
          <t>AIR- J1</t>
        </is>
      </c>
      <c r="G25" s="9" t="inlineStr">
        <is>
          <t>1</t>
        </is>
      </c>
      <c r="H25" s="9" t="inlineStr">
        <is>
          <t>BU</t>
        </is>
      </c>
      <c r="I25" s="10" t="n">
        <v>0.5</v>
      </c>
      <c r="J25" s="11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24V</t>
        </is>
      </c>
      <c r="M25" s="12" t="n"/>
      <c r="N25" s="11">
        <f>IF(D25="","",IFERROR(INDEX(Connectors!$J$2:$J$1000,MATCH(D25,Connectors!$A$2:$A$1000,0))&amp;"",""))</f>
        <v/>
      </c>
      <c r="O25" s="11">
        <f>IF(F25="","",IFERROR(INDEX(Connectors!$J$2:$J$1000,MATCH(F25,Connectors!$A$2:$A$1000,0))&amp;"",""))</f>
        <v/>
      </c>
      <c r="P25" s="9" t="n"/>
      <c r="Q25" s="9" t="n"/>
      <c r="R25" s="9" t="n">
        <v>665</v>
      </c>
      <c r="S25" s="9" t="inlineStr">
        <is>
          <t>AIR- Contactor Supply</t>
        </is>
      </c>
      <c r="T25" s="9" t="inlineStr">
        <is>
          <t>2 pontas</t>
        </is>
      </c>
      <c r="U25" s="9" t="n"/>
      <c r="V25" s="11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1">
        <f>IF(D25="","",D25&amp;":"&amp;E25&amp;IF(EXACT(E25,UPPER(E25)),"","|lc"))</f>
        <v/>
      </c>
      <c r="X25" s="11">
        <f>IF(F25="","",F25&amp;":"&amp;G25&amp;IF(EXACT(G25,UPPER(G25)),"","|lc"))</f>
        <v/>
      </c>
      <c r="Y25" s="9" t="n"/>
      <c r="Z25" s="9" t="n"/>
    </row>
    <row r="26">
      <c r="A26" s="9" t="inlineStr">
        <is>
          <t>W-ACCU-025</t>
        </is>
      </c>
      <c r="B26" s="9" t="inlineStr">
        <is>
          <t>ACCU</t>
        </is>
      </c>
      <c r="C26" s="9" t="inlineStr">
        <is>
          <t>AIR-_TRIGG</t>
        </is>
      </c>
      <c r="D26" s="9" t="inlineStr">
        <is>
          <t>AIR- J1</t>
        </is>
      </c>
      <c r="E26" s="9" t="inlineStr">
        <is>
          <t>2</t>
        </is>
      </c>
      <c r="F26" s="9" t="inlineStr">
        <is>
          <t>AMS J11</t>
        </is>
      </c>
      <c r="G26" s="9" t="inlineStr">
        <is>
          <t>15</t>
        </is>
      </c>
      <c r="H26" s="9" t="inlineStr">
        <is>
          <t>BU</t>
        </is>
      </c>
      <c r="I26" s="10" t="n">
        <v>0.5</v>
      </c>
      <c r="J26" s="11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24V</t>
        </is>
      </c>
      <c r="M26" s="12" t="n"/>
      <c r="N26" s="11">
        <f>IF(D26="","",IFERROR(INDEX(Connectors!$J$2:$J$1000,MATCH(D26,Connectors!$A$2:$A$1000,0))&amp;"",""))</f>
        <v/>
      </c>
      <c r="O26" s="11">
        <f>IF(F26="","",IFERROR(INDEX(Connectors!$J$2:$J$1000,MATCH(F26,Connectors!$A$2:$A$1000,0))&amp;"",""))</f>
        <v/>
      </c>
      <c r="P26" s="9" t="n"/>
      <c r="Q26" s="9" t="n"/>
      <c r="R26" s="9" t="n">
        <v>665</v>
      </c>
      <c r="S26" s="9" t="inlineStr">
        <is>
          <t>AMS Signal to Air- Contactor</t>
        </is>
      </c>
      <c r="T26" s="9" t="inlineStr">
        <is>
          <t>2 pontas</t>
        </is>
      </c>
      <c r="U26" s="9" t="n"/>
      <c r="V26" s="11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1">
        <f>IF(D26="","",D26&amp;":"&amp;E26&amp;IF(EXACT(E26,UPPER(E26)),"","|lc"))</f>
        <v/>
      </c>
      <c r="X26" s="11">
        <f>IF(F26="","",F26&amp;":"&amp;G26&amp;IF(EXACT(G26,UPPER(G26)),"","|lc"))</f>
        <v/>
      </c>
      <c r="Y26" s="9" t="n"/>
      <c r="Z26" s="9" t="n"/>
    </row>
    <row r="27">
      <c r="A27" s="13" t="inlineStr">
        <is>
          <t>W-ACCU-026</t>
        </is>
      </c>
      <c r="B27" s="9" t="inlineStr">
        <is>
          <t>ACCU</t>
        </is>
      </c>
      <c r="C27" s="9" t="inlineStr">
        <is>
          <t>AIR-_12V</t>
        </is>
      </c>
      <c r="D27" s="9" t="inlineStr">
        <is>
          <t>AMS J10</t>
        </is>
      </c>
      <c r="E27" s="9" t="inlineStr">
        <is>
          <t>6</t>
        </is>
      </c>
      <c r="F27" s="9" t="inlineStr">
        <is>
          <t>AIR- J2</t>
        </is>
      </c>
      <c r="G27" s="9" t="inlineStr">
        <is>
          <t>1</t>
        </is>
      </c>
      <c r="H27" s="9" t="inlineStr">
        <is>
          <t>WH</t>
        </is>
      </c>
      <c r="I27" s="10" t="n">
        <v>0.5</v>
      </c>
      <c r="J27" s="11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12V</t>
        </is>
      </c>
      <c r="M27" s="12" t="n"/>
      <c r="N27" s="11">
        <f>IF(D27="","",IFERROR(INDEX(Connectors!$J$2:$J$1000,MATCH(D27,Connectors!$A$2:$A$1000,0))&amp;"",""))</f>
        <v/>
      </c>
      <c r="O27" s="11">
        <f>IF(F27="","",IFERROR(INDEX(Connectors!$J$2:$J$1000,MATCH(F27,Connectors!$A$2:$A$1000,0))&amp;"",""))</f>
        <v/>
      </c>
      <c r="P27" s="9" t="n"/>
      <c r="Q27" s="9" t="n"/>
      <c r="R27" s="9" t="n">
        <v>615</v>
      </c>
      <c r="S27" s="9" t="inlineStr">
        <is>
          <t>AIR– Contactor Feedback Supply</t>
        </is>
      </c>
      <c r="T27" s="9" t="inlineStr">
        <is>
          <t>2 pontas</t>
        </is>
      </c>
      <c r="U27" s="13" t="inlineStr">
        <is>
          <t>I-09</t>
        </is>
      </c>
      <c r="V27" s="11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1">
        <f>IF(D27="","",D27&amp;":"&amp;E27&amp;IF(EXACT(E27,UPPER(E27)),"","|lc"))</f>
        <v/>
      </c>
      <c r="X27" s="11">
        <f>IF(F27="","",F27&amp;":"&amp;G27&amp;IF(EXACT(G27,UPPER(G27)),"","|lc"))</f>
        <v/>
      </c>
      <c r="Y27" s="9" t="n"/>
      <c r="Z27" s="9" t="n"/>
    </row>
    <row r="28">
      <c r="A28" s="9" t="inlineStr">
        <is>
          <t>W-ACCU-027</t>
        </is>
      </c>
      <c r="B28" s="9" t="inlineStr">
        <is>
          <t>ACCU</t>
        </is>
      </c>
      <c r="C28" s="9" t="inlineStr">
        <is>
          <t>AIR-_FEED</t>
        </is>
      </c>
      <c r="D28" s="9" t="inlineStr">
        <is>
          <t>AIR- J2</t>
        </is>
      </c>
      <c r="E28" s="9" t="inlineStr">
        <is>
          <t>2</t>
        </is>
      </c>
      <c r="F28" s="9" t="inlineStr">
        <is>
          <t>AMS J10</t>
        </is>
      </c>
      <c r="G28" s="9" t="inlineStr">
        <is>
          <t>10</t>
        </is>
      </c>
      <c r="H28" s="9" t="inlineStr">
        <is>
          <t>WH</t>
        </is>
      </c>
      <c r="I28" s="10" t="n">
        <v>0.5</v>
      </c>
      <c r="J28" s="11">
        <f>IF(I28="","",IFERROR(INDEX(Lists!$F$3:$F$17,MATCH(I28,Lists!$E$3:$E$17,0)),"?"))</f>
        <v/>
      </c>
      <c r="K28" s="9" t="inlineStr">
        <is>
          <t>N</t>
        </is>
      </c>
      <c r="L28" s="9" t="inlineStr">
        <is>
          <t>12V</t>
        </is>
      </c>
      <c r="M28" s="12" t="n"/>
      <c r="N28" s="11">
        <f>IF(D28="","",IFERROR(INDEX(Connectors!$J$2:$J$1000,MATCH(D28,Connectors!$A$2:$A$1000,0))&amp;"",""))</f>
        <v/>
      </c>
      <c r="O28" s="11">
        <f>IF(F28="","",IFERROR(INDEX(Connectors!$J$2:$J$1000,MATCH(F28,Connectors!$A$2:$A$1000,0))&amp;"",""))</f>
        <v/>
      </c>
      <c r="P28" s="9" t="n"/>
      <c r="Q28" s="9" t="n"/>
      <c r="R28" s="9" t="n">
        <v>615</v>
      </c>
      <c r="S28" s="9" t="inlineStr">
        <is>
          <t>AIR– Contactor Feedback Signal</t>
        </is>
      </c>
      <c r="T28" s="9" t="inlineStr">
        <is>
          <t>2 pontas</t>
        </is>
      </c>
      <c r="U28" s="9" t="n"/>
      <c r="V28" s="11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1">
        <f>IF(D28="","",D28&amp;":"&amp;E28&amp;IF(EXACT(E28,UPPER(E28)),"","|lc"))</f>
        <v/>
      </c>
      <c r="X28" s="11">
        <f>IF(F28="","",F28&amp;":"&amp;G28&amp;IF(EXACT(G28,UPPER(G28)),"","|lc"))</f>
        <v/>
      </c>
      <c r="Y28" s="9" t="n"/>
      <c r="Z28" s="9" t="n"/>
    </row>
    <row r="29">
      <c r="A29" s="9" t="inlineStr">
        <is>
          <t>W-ACCU-028</t>
        </is>
      </c>
      <c r="B29" s="9" t="inlineStr">
        <is>
          <t>ACCU</t>
        </is>
      </c>
      <c r="C29" s="9" t="inlineStr">
        <is>
          <t>AIR+_SDC</t>
        </is>
      </c>
      <c r="D29" s="9" t="inlineStr">
        <is>
          <t>AMS J11</t>
        </is>
      </c>
      <c r="E29" s="9" t="inlineStr">
        <is>
          <t>10</t>
        </is>
      </c>
      <c r="F29" s="9" t="inlineStr">
        <is>
          <t>AIR+ J1</t>
        </is>
      </c>
      <c r="G29" s="9" t="inlineStr">
        <is>
          <t>1</t>
        </is>
      </c>
      <c r="H29" s="9" t="inlineStr">
        <is>
          <t>BU</t>
        </is>
      </c>
      <c r="I29" s="10" t="n">
        <v>0.5</v>
      </c>
      <c r="J29" s="11">
        <f>IF(I29="","",IFERROR(INDEX(Lists!$F$3:$F$17,MATCH(I29,Lists!$E$3:$E$17,0)),"?"))</f>
        <v/>
      </c>
      <c r="K29" s="9" t="inlineStr">
        <is>
          <t>N</t>
        </is>
      </c>
      <c r="L29" s="9" t="inlineStr">
        <is>
          <t>24V</t>
        </is>
      </c>
      <c r="M29" s="12" t="n"/>
      <c r="N29" s="11">
        <f>IF(D29="","",IFERROR(INDEX(Connectors!$J$2:$J$1000,MATCH(D29,Connectors!$A$2:$A$1000,0))&amp;"",""))</f>
        <v/>
      </c>
      <c r="O29" s="11">
        <f>IF(F29="","",IFERROR(INDEX(Connectors!$J$2:$J$1000,MATCH(F29,Connectors!$A$2:$A$1000,0))&amp;"",""))</f>
        <v/>
      </c>
      <c r="P29" s="9" t="n"/>
      <c r="Q29" s="9" t="n"/>
      <c r="R29" s="9" t="n">
        <v>580</v>
      </c>
      <c r="S29" s="9" t="inlineStr">
        <is>
          <t>AIR+ Contactor Supply</t>
        </is>
      </c>
      <c r="T29" s="9" t="inlineStr">
        <is>
          <t>2 pontas</t>
        </is>
      </c>
      <c r="U29" s="9" t="n"/>
      <c r="V29" s="11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1">
        <f>IF(D29="","",D29&amp;":"&amp;E29&amp;IF(EXACT(E29,UPPER(E29)),"","|lc"))</f>
        <v/>
      </c>
      <c r="X29" s="11">
        <f>IF(F29="","",F29&amp;":"&amp;G29&amp;IF(EXACT(G29,UPPER(G29)),"","|lc"))</f>
        <v/>
      </c>
      <c r="Y29" s="9" t="n"/>
      <c r="Z29" s="9" t="n"/>
    </row>
    <row r="30">
      <c r="A30" s="9" t="inlineStr">
        <is>
          <t>W-ACCU-029</t>
        </is>
      </c>
      <c r="B30" s="9" t="inlineStr">
        <is>
          <t>ACCU</t>
        </is>
      </c>
      <c r="C30" s="9" t="inlineStr">
        <is>
          <t>AIR+_TRIGG</t>
        </is>
      </c>
      <c r="D30" s="9" t="inlineStr">
        <is>
          <t>AIR+ J1</t>
        </is>
      </c>
      <c r="E30" s="9" t="inlineStr">
        <is>
          <t>2</t>
        </is>
      </c>
      <c r="F30" s="9" t="inlineStr">
        <is>
          <t>AMS J11</t>
        </is>
      </c>
      <c r="G30" s="9" t="inlineStr">
        <is>
          <t>14</t>
        </is>
      </c>
      <c r="H30" s="9" t="inlineStr">
        <is>
          <t>BU</t>
        </is>
      </c>
      <c r="I30" s="10" t="n">
        <v>0.5</v>
      </c>
      <c r="J30" s="11">
        <f>IF(I30="","",IFERROR(INDEX(Lists!$F$3:$F$17,MATCH(I30,Lists!$E$3:$E$17,0)),"?"))</f>
        <v/>
      </c>
      <c r="K30" s="9" t="inlineStr">
        <is>
          <t>N</t>
        </is>
      </c>
      <c r="L30" s="9" t="inlineStr">
        <is>
          <t>24V</t>
        </is>
      </c>
      <c r="M30" s="12" t="n"/>
      <c r="N30" s="11">
        <f>IF(D30="","",IFERROR(INDEX(Connectors!$J$2:$J$1000,MATCH(D30,Connectors!$A$2:$A$1000,0))&amp;"",""))</f>
        <v/>
      </c>
      <c r="O30" s="11">
        <f>IF(F30="","",IFERROR(INDEX(Connectors!$J$2:$J$1000,MATCH(F30,Connectors!$A$2:$A$1000,0))&amp;"",""))</f>
        <v/>
      </c>
      <c r="P30" s="9" t="n"/>
      <c r="Q30" s="9" t="n"/>
      <c r="R30" s="9" t="n">
        <v>580</v>
      </c>
      <c r="S30" s="9" t="inlineStr">
        <is>
          <t>AMS Signal to Air+ Contactor</t>
        </is>
      </c>
      <c r="T30" s="9" t="inlineStr">
        <is>
          <t>2 pontas</t>
        </is>
      </c>
      <c r="U30" s="9" t="n"/>
      <c r="V30" s="11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1">
        <f>IF(D30="","",D30&amp;":"&amp;E30&amp;IF(EXACT(E30,UPPER(E30)),"","|lc"))</f>
        <v/>
      </c>
      <c r="X30" s="11">
        <f>IF(F30="","",F30&amp;":"&amp;G30&amp;IF(EXACT(G30,UPPER(G30)),"","|lc"))</f>
        <v/>
      </c>
      <c r="Y30" s="9" t="n"/>
      <c r="Z30" s="9" t="n"/>
    </row>
    <row r="31">
      <c r="A31" s="9" t="inlineStr">
        <is>
          <t>W-ACCU-030</t>
        </is>
      </c>
      <c r="B31" s="9" t="inlineStr">
        <is>
          <t>ACCU</t>
        </is>
      </c>
      <c r="C31" s="9" t="inlineStr">
        <is>
          <t>AIR+_12V</t>
        </is>
      </c>
      <c r="D31" s="9" t="inlineStr">
        <is>
          <t>AMS J10</t>
        </is>
      </c>
      <c r="E31" s="9" t="inlineStr">
        <is>
          <t>7</t>
        </is>
      </c>
      <c r="F31" s="9" t="inlineStr">
        <is>
          <t>AIR+ J2</t>
        </is>
      </c>
      <c r="G31" s="9" t="inlineStr">
        <is>
          <t>1</t>
        </is>
      </c>
      <c r="H31" s="9" t="inlineStr">
        <is>
          <t>WH</t>
        </is>
      </c>
      <c r="I31" s="10" t="n">
        <v>0.5</v>
      </c>
      <c r="J31" s="11">
        <f>IF(I31="","",IFERROR(INDEX(Lists!$F$3:$F$17,MATCH(I31,Lists!$E$3:$E$17,0)),"?"))</f>
        <v/>
      </c>
      <c r="K31" s="9" t="inlineStr">
        <is>
          <t>N</t>
        </is>
      </c>
      <c r="L31" s="9" t="inlineStr">
        <is>
          <t>12V</t>
        </is>
      </c>
      <c r="M31" s="12" t="n"/>
      <c r="N31" s="11">
        <f>IF(D31="","",IFERROR(INDEX(Connectors!$J$2:$J$1000,MATCH(D31,Connectors!$A$2:$A$1000,0))&amp;"",""))</f>
        <v/>
      </c>
      <c r="O31" s="11">
        <f>IF(F31="","",IFERROR(INDEX(Connectors!$J$2:$J$1000,MATCH(F31,Connectors!$A$2:$A$1000,0))&amp;"",""))</f>
        <v/>
      </c>
      <c r="P31" s="9" t="n"/>
      <c r="Q31" s="9" t="n"/>
      <c r="R31" s="9" t="n">
        <v>550</v>
      </c>
      <c r="S31" s="9" t="inlineStr">
        <is>
          <t>AIR+ Contactor Feedback Supply</t>
        </is>
      </c>
      <c r="T31" s="9" t="inlineStr">
        <is>
          <t>2 pontas</t>
        </is>
      </c>
      <c r="U31" s="9" t="n"/>
      <c r="V31" s="11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1">
        <f>IF(D31="","",D31&amp;":"&amp;E31&amp;IF(EXACT(E31,UPPER(E31)),"","|lc"))</f>
        <v/>
      </c>
      <c r="X31" s="11">
        <f>IF(F31="","",F31&amp;":"&amp;G31&amp;IF(EXACT(G31,UPPER(G31)),"","|lc"))</f>
        <v/>
      </c>
      <c r="Y31" s="9" t="n"/>
      <c r="Z31" s="9" t="n"/>
    </row>
    <row r="32">
      <c r="A32" s="9" t="inlineStr">
        <is>
          <t>W-ACCU-031</t>
        </is>
      </c>
      <c r="B32" s="9" t="inlineStr">
        <is>
          <t>ACCU</t>
        </is>
      </c>
      <c r="C32" s="9" t="inlineStr">
        <is>
          <t>AIR+_FEED</t>
        </is>
      </c>
      <c r="D32" s="9" t="inlineStr">
        <is>
          <t>AIR+ J2</t>
        </is>
      </c>
      <c r="E32" s="9" t="inlineStr">
        <is>
          <t>2</t>
        </is>
      </c>
      <c r="F32" s="9" t="inlineStr">
        <is>
          <t>AMS J10</t>
        </is>
      </c>
      <c r="G32" s="9" t="inlineStr">
        <is>
          <t>11</t>
        </is>
      </c>
      <c r="H32" s="9" t="inlineStr">
        <is>
          <t>WH</t>
        </is>
      </c>
      <c r="I32" s="10" t="n">
        <v>0.5</v>
      </c>
      <c r="J32" s="11">
        <f>IF(I32="","",IFERROR(INDEX(Lists!$F$3:$F$17,MATCH(I32,Lists!$E$3:$E$17,0)),"?"))</f>
        <v/>
      </c>
      <c r="K32" s="9" t="inlineStr">
        <is>
          <t>N</t>
        </is>
      </c>
      <c r="L32" s="9" t="inlineStr">
        <is>
          <t>12V</t>
        </is>
      </c>
      <c r="M32" s="12" t="n"/>
      <c r="N32" s="11">
        <f>IF(D32="","",IFERROR(INDEX(Connectors!$J$2:$J$1000,MATCH(D32,Connectors!$A$2:$A$1000,0))&amp;"",""))</f>
        <v/>
      </c>
      <c r="O32" s="11">
        <f>IF(F32="","",IFERROR(INDEX(Connectors!$J$2:$J$1000,MATCH(F32,Connectors!$A$2:$A$1000,0))&amp;"",""))</f>
        <v/>
      </c>
      <c r="P32" s="9" t="n"/>
      <c r="Q32" s="9" t="n"/>
      <c r="R32" s="9" t="n">
        <v>550</v>
      </c>
      <c r="S32" s="9" t="inlineStr">
        <is>
          <t>AIR+ Contactor Feedback Signal</t>
        </is>
      </c>
      <c r="T32" s="9" t="inlineStr">
        <is>
          <t>2 pontas</t>
        </is>
      </c>
      <c r="U32" s="9" t="n"/>
      <c r="V32" s="11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1">
        <f>IF(D32="","",D32&amp;":"&amp;E32&amp;IF(EXACT(E32,UPPER(E32)),"","|lc"))</f>
        <v/>
      </c>
      <c r="X32" s="11">
        <f>IF(F32="","",F32&amp;":"&amp;G32&amp;IF(EXACT(G32,UPPER(G32)),"","|lc"))</f>
        <v/>
      </c>
      <c r="Y32" s="9" t="n"/>
      <c r="Z32" s="9" t="n"/>
    </row>
    <row r="33">
      <c r="A33" s="9" t="inlineStr">
        <is>
          <t>W-ACCU-032</t>
        </is>
      </c>
      <c r="B33" s="9" t="inlineStr">
        <is>
          <t>ACCU</t>
        </is>
      </c>
      <c r="C33" s="9" t="inlineStr">
        <is>
          <t>PRE_SDC</t>
        </is>
      </c>
      <c r="D33" s="9" t="inlineStr">
        <is>
          <t>AMS J11</t>
        </is>
      </c>
      <c r="E33" s="9" t="inlineStr">
        <is>
          <t>1</t>
        </is>
      </c>
      <c r="F33" s="9" t="inlineStr">
        <is>
          <t>PRE J1</t>
        </is>
      </c>
      <c r="G33" s="9" t="inlineStr">
        <is>
          <t>1</t>
        </is>
      </c>
      <c r="H33" s="9" t="inlineStr">
        <is>
          <t>BU</t>
        </is>
      </c>
      <c r="I33" s="10" t="n">
        <v>0.5</v>
      </c>
      <c r="J33" s="11">
        <f>IF(I33="","",IFERROR(INDEX(Lists!$F$3:$F$17,MATCH(I33,Lists!$E$3:$E$17,0)),"?"))</f>
        <v/>
      </c>
      <c r="K33" s="9" t="inlineStr">
        <is>
          <t>N</t>
        </is>
      </c>
      <c r="L33" s="9" t="inlineStr">
        <is>
          <t>24V</t>
        </is>
      </c>
      <c r="M33" s="12" t="n"/>
      <c r="N33" s="11">
        <f>IF(D33="","",IFERROR(INDEX(Connectors!$J$2:$J$1000,MATCH(D33,Connectors!$A$2:$A$1000,0))&amp;"",""))</f>
        <v/>
      </c>
      <c r="O33" s="11">
        <f>IF(F33="","",IFERROR(INDEX(Connectors!$J$2:$J$1000,MATCH(F33,Connectors!$A$2:$A$1000,0))&amp;"",""))</f>
        <v/>
      </c>
      <c r="P33" s="9" t="n"/>
      <c r="Q33" s="9" t="n"/>
      <c r="R33" s="9" t="n">
        <v>670</v>
      </c>
      <c r="S33" s="9" t="inlineStr">
        <is>
          <t>Precharge Contactor Supply</t>
        </is>
      </c>
      <c r="T33" s="9" t="inlineStr">
        <is>
          <t>2 pontas</t>
        </is>
      </c>
      <c r="U33" s="9" t="n"/>
      <c r="V33" s="11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1">
        <f>IF(D33="","",D33&amp;":"&amp;E33&amp;IF(EXACT(E33,UPPER(E33)),"","|lc"))</f>
        <v/>
      </c>
      <c r="X33" s="11">
        <f>IF(F33="","",F33&amp;":"&amp;G33&amp;IF(EXACT(G33,UPPER(G33)),"","|lc"))</f>
        <v/>
      </c>
      <c r="Y33" s="9" t="n"/>
      <c r="Z33" s="9" t="inlineStr">
        <is>
          <t>no Excel original: "PreCharge J1"</t>
        </is>
      </c>
    </row>
    <row r="34">
      <c r="A34" s="9" t="inlineStr">
        <is>
          <t>W-ACCU-033</t>
        </is>
      </c>
      <c r="B34" s="9" t="inlineStr">
        <is>
          <t>ACCU</t>
        </is>
      </c>
      <c r="C34" s="9" t="inlineStr">
        <is>
          <t>PRE_TRIGG</t>
        </is>
      </c>
      <c r="D34" s="9" t="inlineStr">
        <is>
          <t>PRE J1</t>
        </is>
      </c>
      <c r="E34" s="9" t="inlineStr">
        <is>
          <t>2</t>
        </is>
      </c>
      <c r="F34" s="9" t="inlineStr">
        <is>
          <t>AMS J11</t>
        </is>
      </c>
      <c r="G34" s="9" t="inlineStr">
        <is>
          <t>13</t>
        </is>
      </c>
      <c r="H34" s="9" t="inlineStr">
        <is>
          <t>BU</t>
        </is>
      </c>
      <c r="I34" s="10" t="n">
        <v>0.5</v>
      </c>
      <c r="J34" s="11">
        <f>IF(I34="","",IFERROR(INDEX(Lists!$F$3:$F$17,MATCH(I34,Lists!$E$3:$E$17,0)),"?"))</f>
        <v/>
      </c>
      <c r="K34" s="9" t="inlineStr">
        <is>
          <t>N</t>
        </is>
      </c>
      <c r="L34" s="9" t="inlineStr">
        <is>
          <t>24V</t>
        </is>
      </c>
      <c r="M34" s="12" t="n"/>
      <c r="N34" s="11">
        <f>IF(D34="","",IFERROR(INDEX(Connectors!$J$2:$J$1000,MATCH(D34,Connectors!$A$2:$A$1000,0))&amp;"",""))</f>
        <v/>
      </c>
      <c r="O34" s="11">
        <f>IF(F34="","",IFERROR(INDEX(Connectors!$J$2:$J$1000,MATCH(F34,Connectors!$A$2:$A$1000,0))&amp;"",""))</f>
        <v/>
      </c>
      <c r="P34" s="9" t="n"/>
      <c r="Q34" s="9" t="n"/>
      <c r="R34" s="9" t="n">
        <v>670</v>
      </c>
      <c r="S34" s="9" t="inlineStr">
        <is>
          <t>AMS Signal to Pre-Charge Contactor</t>
        </is>
      </c>
      <c r="T34" s="9" t="inlineStr">
        <is>
          <t>2 pontas</t>
        </is>
      </c>
      <c r="U34" s="9" t="n"/>
      <c r="V34" s="11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1">
        <f>IF(D34="","",D34&amp;":"&amp;E34&amp;IF(EXACT(E34,UPPER(E34)),"","|lc"))</f>
        <v/>
      </c>
      <c r="X34" s="11">
        <f>IF(F34="","",F34&amp;":"&amp;G34&amp;IF(EXACT(G34,UPPER(G34)),"","|lc"))</f>
        <v/>
      </c>
      <c r="Y34" s="9" t="n"/>
      <c r="Z34" s="9" t="inlineStr">
        <is>
          <t>no Excel original: "PreCharge J1"</t>
        </is>
      </c>
    </row>
    <row r="35">
      <c r="A35" s="9" t="inlineStr">
        <is>
          <t>W-ACCU-034</t>
        </is>
      </c>
      <c r="B35" s="9" t="inlineStr">
        <is>
          <t>ACCU</t>
        </is>
      </c>
      <c r="C35" s="9" t="inlineStr">
        <is>
          <t>PRE_12V</t>
        </is>
      </c>
      <c r="D35" s="9" t="inlineStr">
        <is>
          <t>AMS J10</t>
        </is>
      </c>
      <c r="E35" s="9" t="inlineStr">
        <is>
          <t>8</t>
        </is>
      </c>
      <c r="F35" s="9" t="inlineStr">
        <is>
          <t>PRE J2</t>
        </is>
      </c>
      <c r="G35" s="9" t="inlineStr">
        <is>
          <t>1</t>
        </is>
      </c>
      <c r="H35" s="9" t="inlineStr">
        <is>
          <t>WH</t>
        </is>
      </c>
      <c r="I35" s="10" t="n">
        <v>0.5</v>
      </c>
      <c r="J35" s="11">
        <f>IF(I35="","",IFERROR(INDEX(Lists!$F$3:$F$17,MATCH(I35,Lists!$E$3:$E$17,0)),"?"))</f>
        <v/>
      </c>
      <c r="K35" s="9" t="inlineStr">
        <is>
          <t>N</t>
        </is>
      </c>
      <c r="L35" s="9" t="inlineStr">
        <is>
          <t>12V</t>
        </is>
      </c>
      <c r="M35" s="12" t="n"/>
      <c r="N35" s="11">
        <f>IF(D35="","",IFERROR(INDEX(Connectors!$J$2:$J$1000,MATCH(D35,Connectors!$A$2:$A$1000,0))&amp;"",""))</f>
        <v/>
      </c>
      <c r="O35" s="11">
        <f>IF(F35="","",IFERROR(INDEX(Connectors!$J$2:$J$1000,MATCH(F35,Connectors!$A$2:$A$1000,0))&amp;"",""))</f>
        <v/>
      </c>
      <c r="P35" s="9" t="n"/>
      <c r="Q35" s="9" t="n"/>
      <c r="R35" s="9" t="n">
        <v>590</v>
      </c>
      <c r="S35" s="9" t="inlineStr">
        <is>
          <t>Precharge Contactor Feedback Supply</t>
        </is>
      </c>
      <c r="T35" s="9" t="inlineStr">
        <is>
          <t>2 pontas</t>
        </is>
      </c>
      <c r="U35" s="9" t="n"/>
      <c r="V35" s="11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1">
        <f>IF(D35="","",D35&amp;":"&amp;E35&amp;IF(EXACT(E35,UPPER(E35)),"","|lc"))</f>
        <v/>
      </c>
      <c r="X35" s="11">
        <f>IF(F35="","",F35&amp;":"&amp;G35&amp;IF(EXACT(G35,UPPER(G35)),"","|lc"))</f>
        <v/>
      </c>
      <c r="Y35" s="9" t="n"/>
      <c r="Z35" s="9" t="inlineStr">
        <is>
          <t>no Excel original: "PreCharge J2"</t>
        </is>
      </c>
    </row>
    <row r="36">
      <c r="A36" s="9" t="inlineStr">
        <is>
          <t>W-ACCU-035</t>
        </is>
      </c>
      <c r="B36" s="9" t="inlineStr">
        <is>
          <t>ACCU</t>
        </is>
      </c>
      <c r="C36" s="9" t="inlineStr">
        <is>
          <t>PRE_FEED</t>
        </is>
      </c>
      <c r="D36" s="9" t="inlineStr">
        <is>
          <t>PRE J2</t>
        </is>
      </c>
      <c r="E36" s="9" t="inlineStr">
        <is>
          <t>2</t>
        </is>
      </c>
      <c r="F36" s="9" t="inlineStr">
        <is>
          <t>AMS J10</t>
        </is>
      </c>
      <c r="G36" s="9" t="inlineStr">
        <is>
          <t>12</t>
        </is>
      </c>
      <c r="H36" s="9" t="inlineStr">
        <is>
          <t>WH</t>
        </is>
      </c>
      <c r="I36" s="10" t="n">
        <v>0.5</v>
      </c>
      <c r="J36" s="11">
        <f>IF(I36="","",IFERROR(INDEX(Lists!$F$3:$F$17,MATCH(I36,Lists!$E$3:$E$17,0)),"?"))</f>
        <v/>
      </c>
      <c r="K36" s="9" t="inlineStr">
        <is>
          <t>N</t>
        </is>
      </c>
      <c r="L36" s="9" t="inlineStr">
        <is>
          <t>12V</t>
        </is>
      </c>
      <c r="M36" s="12" t="n"/>
      <c r="N36" s="11">
        <f>IF(D36="","",IFERROR(INDEX(Connectors!$J$2:$J$1000,MATCH(D36,Connectors!$A$2:$A$1000,0))&amp;"",""))</f>
        <v/>
      </c>
      <c r="O36" s="11">
        <f>IF(F36="","",IFERROR(INDEX(Connectors!$J$2:$J$1000,MATCH(F36,Connectors!$A$2:$A$1000,0))&amp;"",""))</f>
        <v/>
      </c>
      <c r="P36" s="9" t="n"/>
      <c r="Q36" s="9" t="n"/>
      <c r="R36" s="9" t="n">
        <v>590</v>
      </c>
      <c r="S36" s="9" t="inlineStr">
        <is>
          <t>Pre-Charge Contactor Feedback Signal</t>
        </is>
      </c>
      <c r="T36" s="9" t="inlineStr">
        <is>
          <t>2 pontas</t>
        </is>
      </c>
      <c r="U36" s="9" t="n"/>
      <c r="V36" s="11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1">
        <f>IF(D36="","",D36&amp;":"&amp;E36&amp;IF(EXACT(E36,UPPER(E36)),"","|lc"))</f>
        <v/>
      </c>
      <c r="X36" s="11">
        <f>IF(F36="","",F36&amp;":"&amp;G36&amp;IF(EXACT(G36,UPPER(G36)),"","|lc"))</f>
        <v/>
      </c>
      <c r="Y36" s="9" t="n"/>
      <c r="Z36" s="9" t="inlineStr">
        <is>
          <t>no Excel original: "PreCharge J2"</t>
        </is>
      </c>
    </row>
    <row r="37">
      <c r="A37" s="9" t="inlineStr">
        <is>
          <t>W-ACCU-036</t>
        </is>
      </c>
      <c r="B37" s="9" t="inlineStr">
        <is>
          <t>ACCU</t>
        </is>
      </c>
      <c r="C37" s="9" t="inlineStr">
        <is>
          <t>ISA_GND</t>
        </is>
      </c>
      <c r="D37" s="9" t="inlineStr">
        <is>
          <t>ISA X1</t>
        </is>
      </c>
      <c r="E37" s="9" t="inlineStr">
        <is>
          <t>1</t>
        </is>
      </c>
      <c r="F37" s="9" t="inlineStr">
        <is>
          <t>AMS J11</t>
        </is>
      </c>
      <c r="G37" s="9" t="inlineStr">
        <is>
          <t>4</t>
        </is>
      </c>
      <c r="H37" s="9" t="inlineStr">
        <is>
          <t>BN</t>
        </is>
      </c>
      <c r="I37" s="10" t="n">
        <v>0.5</v>
      </c>
      <c r="J37" s="11">
        <f>IF(I37="","",IFERROR(INDEX(Lists!$F$3:$F$17,MATCH(I37,Lists!$E$3:$E$17,0)),"?"))</f>
        <v/>
      </c>
      <c r="K37" s="9" t="inlineStr">
        <is>
          <t>N</t>
        </is>
      </c>
      <c r="L37" s="9" t="inlineStr">
        <is>
          <t>0V</t>
        </is>
      </c>
      <c r="M37" s="12" t="n"/>
      <c r="N37" s="11">
        <f>IF(D37="","",IFERROR(INDEX(Connectors!$J$2:$J$1000,MATCH(D37,Connectors!$A$2:$A$1000,0))&amp;"",""))</f>
        <v/>
      </c>
      <c r="O37" s="11">
        <f>IF(F37="","",IFERROR(INDEX(Connectors!$J$2:$J$1000,MATCH(F37,Connectors!$A$2:$A$1000,0))&amp;"",""))</f>
        <v/>
      </c>
      <c r="P37" s="9" t="n"/>
      <c r="Q37" s="9" t="n"/>
      <c r="R37" s="9" t="n">
        <v>755</v>
      </c>
      <c r="S37" s="9" t="inlineStr">
        <is>
          <t>ISA Power Supply Ground</t>
        </is>
      </c>
      <c r="T37" s="9" t="inlineStr">
        <is>
          <t>2 pontas</t>
        </is>
      </c>
      <c r="U37" s="9" t="n"/>
      <c r="V37" s="11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1">
        <f>IF(D37="","",D37&amp;":"&amp;E37&amp;IF(EXACT(E37,UPPER(E37)),"","|lc"))</f>
        <v/>
      </c>
      <c r="X37" s="11">
        <f>IF(F37="","",F37&amp;":"&amp;G37&amp;IF(EXACT(G37,UPPER(G37)),"","|lc"))</f>
        <v/>
      </c>
      <c r="Y37" s="9" t="n"/>
      <c r="Z37" s="9" t="n"/>
    </row>
    <row r="38">
      <c r="A38" s="13" t="inlineStr">
        <is>
          <t>W-ACCU-037</t>
        </is>
      </c>
      <c r="B38" s="9" t="inlineStr">
        <is>
          <t>ACCU</t>
        </is>
      </c>
      <c r="C38" s="9" t="inlineStr">
        <is>
          <t>PWT_CAN_H</t>
        </is>
      </c>
      <c r="D38" s="9" t="inlineStr">
        <is>
          <t>ISA X1</t>
        </is>
      </c>
      <c r="E38" s="9" t="inlineStr">
        <is>
          <t>2</t>
        </is>
      </c>
      <c r="F38" s="9" t="inlineStr">
        <is>
          <t>AMS J14</t>
        </is>
      </c>
      <c r="G38" s="9" t="inlineStr">
        <is>
          <t>2</t>
        </is>
      </c>
      <c r="H38" s="9" t="inlineStr">
        <is>
          <t>RD</t>
        </is>
      </c>
      <c r="I38" s="10" t="n">
        <v>0.5</v>
      </c>
      <c r="J38" s="11">
        <f>IF(I38="","",IFERROR(INDEX(Lists!$F$3:$F$17,MATCH(I38,Lists!$E$3:$E$17,0)),"?"))</f>
        <v/>
      </c>
      <c r="K38" s="9" t="inlineStr">
        <is>
          <t>N</t>
        </is>
      </c>
      <c r="L38" s="9" t="inlineStr">
        <is>
          <t>5V</t>
        </is>
      </c>
      <c r="M38" s="12" t="n"/>
      <c r="N38" s="11">
        <f>IF(D38="","",IFERROR(INDEX(Connectors!$J$2:$J$1000,MATCH(D38,Connectors!$A$2:$A$1000,0))&amp;"",""))</f>
        <v/>
      </c>
      <c r="O38" s="11">
        <f>IF(F38="","",IFERROR(INDEX(Connectors!$J$2:$J$1000,MATCH(F38,Connectors!$A$2:$A$1000,0))&amp;"",""))</f>
        <v/>
      </c>
      <c r="P38" s="10" t="inlineStr">
        <is>
          <t>TP3</t>
        </is>
      </c>
      <c r="Q38" s="9" t="n"/>
      <c r="R38" s="9" t="n">
        <v>775</v>
      </c>
      <c r="S38" s="9" t="inlineStr">
        <is>
          <t>PowerTrain Can BUS High</t>
        </is>
      </c>
      <c r="T38" s="9" t="inlineStr">
        <is>
          <t>1 ponta (folha AUX)</t>
        </is>
      </c>
      <c r="U38" s="13" t="inlineStr">
        <is>
          <t>I-04</t>
        </is>
      </c>
      <c r="V38" s="11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1">
        <f>IF(D38="","",D38&amp;":"&amp;E38&amp;IF(EXACT(E38,UPPER(E38)),"","|lc"))</f>
        <v/>
      </c>
      <c r="X38" s="11">
        <f>IF(F38="","",F38&amp;":"&amp;G38&amp;IF(EXACT(G38,UPPER(G38)),"","|lc"))</f>
        <v/>
      </c>
      <c r="Y38" s="9" t="n"/>
      <c r="Z38" s="9" t="n"/>
    </row>
    <row r="39">
      <c r="A39" s="13" t="inlineStr">
        <is>
          <t>W-ACCU-038</t>
        </is>
      </c>
      <c r="B39" s="9" t="inlineStr">
        <is>
          <t>ACCU</t>
        </is>
      </c>
      <c r="C39" s="9" t="inlineStr">
        <is>
          <t>PWT_CAN_L</t>
        </is>
      </c>
      <c r="D39" s="9" t="inlineStr">
        <is>
          <t>ISA X1</t>
        </is>
      </c>
      <c r="E39" s="9" t="inlineStr">
        <is>
          <t>3</t>
        </is>
      </c>
      <c r="F39" s="9" t="inlineStr">
        <is>
          <t>AMS J14</t>
        </is>
      </c>
      <c r="G39" s="9" t="inlineStr">
        <is>
          <t>1</t>
        </is>
      </c>
      <c r="H39" s="9" t="inlineStr">
        <is>
          <t>BU</t>
        </is>
      </c>
      <c r="I39" s="10" t="n">
        <v>0.5</v>
      </c>
      <c r="J39" s="11">
        <f>IF(I39="","",IFERROR(INDEX(Lists!$F$3:$F$17,MATCH(I39,Lists!$E$3:$E$17,0)),"?"))</f>
        <v/>
      </c>
      <c r="K39" s="9" t="inlineStr">
        <is>
          <t>N</t>
        </is>
      </c>
      <c r="L39" s="9" t="inlineStr">
        <is>
          <t>5V</t>
        </is>
      </c>
      <c r="M39" s="12" t="n"/>
      <c r="N39" s="11">
        <f>IF(D39="","",IFERROR(INDEX(Connectors!$J$2:$J$1000,MATCH(D39,Connectors!$A$2:$A$1000,0))&amp;"",""))</f>
        <v/>
      </c>
      <c r="O39" s="11">
        <f>IF(F39="","",IFERROR(INDEX(Connectors!$J$2:$J$1000,MATCH(F39,Connectors!$A$2:$A$1000,0))&amp;"",""))</f>
        <v/>
      </c>
      <c r="P39" s="10" t="inlineStr">
        <is>
          <t>TP3</t>
        </is>
      </c>
      <c r="Q39" s="9" t="n"/>
      <c r="R39" s="9" t="n">
        <v>775</v>
      </c>
      <c r="S39" s="9" t="inlineStr">
        <is>
          <t>PowerTrain Can BUS Low</t>
        </is>
      </c>
      <c r="T39" s="9" t="inlineStr">
        <is>
          <t>1 ponta (folha AUX)</t>
        </is>
      </c>
      <c r="U39" s="13" t="inlineStr">
        <is>
          <t>I-04</t>
        </is>
      </c>
      <c r="V39" s="11">
        <f>IF(D39="","",IF(COUNTIF(Connectors!$A$2:$A$1000,D39)=0,"from_ref não existe; ","")&amp;IF(COUNTIF(Connectors!$A$2:$A$1000,F39)=0,"to_ref não existe; ","")&amp;IF(AND(H39&lt;&gt;"",COUNTIF(Lists!$A$3:$A$14,H39)=0),"cor inválida; ","")&amp;IF(H39="","sem cor; ","")&amp;IF((K39="Y")&lt;&gt;(H39="OG"),"HV e laranja não batem; ","")&amp;IF(AND(K39="Y",OR(IFERROR(INDEX(Connectors!$F$2:$F$1000,MATCH(D39,Connectors!$A$2:$A$1000,0)),"")&lt;&gt;"Y",IFERROR(INDEX(Connectors!$F$2:$F$1000,MATCH(F39,Connectors!$A$2:$A$1000,0)),"")&lt;&gt;"Y")),"fio HV em ficha não HV rated; ","")&amp;IF(AND(COUNTIF($W$2:$W$1000,W39)+COUNTIF($X$2:$X$1000,W39)&gt;1,ISERROR(MATCH(IFERROR(INDEX(Connectors!$D$2:$D$1000,MATCH(D39,Connectors!$A$2:$A$1000,0)),""),{"SPLICE","STUD"},0))),"pino from com &gt;1 fio; ","")&amp;IF(AND(COUNTIF($W$2:$W$1000,X39)+COUNTIF($X$2:$X$1000,X39)&gt;1,ISERROR(MATCH(IFERROR(INDEX(Connectors!$D$2:$D$1000,MATCH(F39,Connectors!$A$2:$A$1000,0)),""),{"SPLICE","STUD"},0))),"pino to com &gt;1 fio; ","")&amp;IF(I39="","sem secção; ",""))</f>
        <v/>
      </c>
      <c r="W39" s="11">
        <f>IF(D39="","",D39&amp;":"&amp;E39&amp;IF(EXACT(E39,UPPER(E39)),"","|lc"))</f>
        <v/>
      </c>
      <c r="X39" s="11">
        <f>IF(F39="","",F39&amp;":"&amp;G39&amp;IF(EXACT(G39,UPPER(G39)),"","|lc"))</f>
        <v/>
      </c>
      <c r="Y39" s="9" t="n"/>
      <c r="Z39" s="9" t="n"/>
    </row>
    <row r="40">
      <c r="A40" s="9" t="inlineStr">
        <is>
          <t>W-ACCU-039</t>
        </is>
      </c>
      <c r="B40" s="9" t="inlineStr">
        <is>
          <t>ACCU</t>
        </is>
      </c>
      <c r="C40" s="9" t="inlineStr">
        <is>
          <t>ISA_VCC</t>
        </is>
      </c>
      <c r="D40" s="9" t="inlineStr">
        <is>
          <t>ISA X1</t>
        </is>
      </c>
      <c r="E40" s="9" t="inlineStr">
        <is>
          <t>4</t>
        </is>
      </c>
      <c r="F40" s="9" t="inlineStr">
        <is>
          <t>AMS J11</t>
        </is>
      </c>
      <c r="G40" s="9" t="inlineStr">
        <is>
          <t>12</t>
        </is>
      </c>
      <c r="H40" s="9" t="inlineStr">
        <is>
          <t>YE</t>
        </is>
      </c>
      <c r="I40" s="10" t="n">
        <v>0.5</v>
      </c>
      <c r="J40" s="11">
        <f>IF(I40="","",IFERROR(INDEX(Lists!$F$3:$F$17,MATCH(I40,Lists!$E$3:$E$17,0)),"?"))</f>
        <v/>
      </c>
      <c r="K40" s="9" t="inlineStr">
        <is>
          <t>N</t>
        </is>
      </c>
      <c r="L40" s="9" t="inlineStr">
        <is>
          <t>24V</t>
        </is>
      </c>
      <c r="M40" s="12" t="n"/>
      <c r="N40" s="11">
        <f>IF(D40="","",IFERROR(INDEX(Connectors!$J$2:$J$1000,MATCH(D40,Connectors!$A$2:$A$1000,0))&amp;"",""))</f>
        <v/>
      </c>
      <c r="O40" s="11">
        <f>IF(F40="","",IFERROR(INDEX(Connectors!$J$2:$J$1000,MATCH(F40,Connectors!$A$2:$A$1000,0))&amp;"",""))</f>
        <v/>
      </c>
      <c r="P40" s="9" t="n"/>
      <c r="Q40" s="9" t="n"/>
      <c r="R40" s="9" t="n">
        <v>755</v>
      </c>
      <c r="S40" s="9" t="inlineStr">
        <is>
          <t>ISA Power Supply</t>
        </is>
      </c>
      <c r="T40" s="9" t="inlineStr">
        <is>
          <t>2 pontas</t>
        </is>
      </c>
      <c r="U40" s="9" t="n"/>
      <c r="V40" s="11">
        <f>IF(D40="","",IF(COUNTIF(Connectors!$A$2:$A$1000,D40)=0,"from_ref não existe; ","")&amp;IF(COUNTIF(Connectors!$A$2:$A$1000,F40)=0,"to_ref não existe; ","")&amp;IF(AND(H40&lt;&gt;"",COUNTIF(Lists!$A$3:$A$14,H40)=0),"cor inválida; ","")&amp;IF(H40="","sem cor; ","")&amp;IF((K40="Y")&lt;&gt;(H40="OG"),"HV e laranja não batem; ","")&amp;IF(AND(K40="Y",OR(IFERROR(INDEX(Connectors!$F$2:$F$1000,MATCH(D40,Connectors!$A$2:$A$1000,0)),"")&lt;&gt;"Y",IFERROR(INDEX(Connectors!$F$2:$F$1000,MATCH(F40,Connectors!$A$2:$A$1000,0)),"")&lt;&gt;"Y")),"fio HV em ficha não HV rated; ","")&amp;IF(AND(COUNTIF($W$2:$W$1000,W40)+COUNTIF($X$2:$X$1000,W40)&gt;1,ISERROR(MATCH(IFERROR(INDEX(Connectors!$D$2:$D$1000,MATCH(D40,Connectors!$A$2:$A$1000,0)),""),{"SPLICE","STUD"},0))),"pino from com &gt;1 fio; ","")&amp;IF(AND(COUNTIF($W$2:$W$1000,X40)+COUNTIF($X$2:$X$1000,X40)&gt;1,ISERROR(MATCH(IFERROR(INDEX(Connectors!$D$2:$D$1000,MATCH(F40,Connectors!$A$2:$A$1000,0)),""),{"SPLICE","STUD"},0))),"pino to com &gt;1 fio; ","")&amp;IF(I40="","sem secção; ",""))</f>
        <v/>
      </c>
      <c r="W40" s="11">
        <f>IF(D40="","",D40&amp;":"&amp;E40&amp;IF(EXACT(E40,UPPER(E40)),"","|lc"))</f>
        <v/>
      </c>
      <c r="X40" s="11">
        <f>IF(F40="","",F40&amp;":"&amp;G40&amp;IF(EXACT(G40,UPPER(G40)),"","|lc"))</f>
        <v/>
      </c>
      <c r="Y40" s="9" t="n"/>
      <c r="Z40" s="9" t="n"/>
    </row>
    <row r="41">
      <c r="A41" s="13" t="inlineStr">
        <is>
          <t>W-ACCU-040</t>
        </is>
      </c>
      <c r="B41" s="9" t="inlineStr">
        <is>
          <t>ACCU</t>
        </is>
      </c>
      <c r="C41" s="9" t="inlineStr">
        <is>
          <t>VI_HV_NEG</t>
        </is>
      </c>
      <c r="D41" s="9" t="inlineStr">
        <is>
          <t>VI J1</t>
        </is>
      </c>
      <c r="E41" s="9" t="inlineStr">
        <is>
          <t>1</t>
        </is>
      </c>
      <c r="F41" s="9" t="inlineStr">
        <is>
          <t>AIR- HV</t>
        </is>
      </c>
      <c r="G41" s="9" t="inlineStr">
        <is>
          <t>A2</t>
        </is>
      </c>
      <c r="H41" s="9" t="inlineStr">
        <is>
          <t>OG</t>
        </is>
      </c>
      <c r="I41" s="10" t="n">
        <v>0.5</v>
      </c>
      <c r="J41" s="11">
        <f>IF(I41="","",IFERROR(INDEX(Lists!$F$3:$F$17,MATCH(I41,Lists!$E$3:$E$17,0)),"?"))</f>
        <v/>
      </c>
      <c r="K41" s="9" t="inlineStr">
        <is>
          <t>Y</t>
        </is>
      </c>
      <c r="L41" s="9" t="inlineStr">
        <is>
          <t>0V</t>
        </is>
      </c>
      <c r="M41" s="12" t="n"/>
      <c r="N41" s="11">
        <f>IF(D41="","",IFERROR(INDEX(Connectors!$J$2:$J$1000,MATCH(D41,Connectors!$A$2:$A$1000,0))&amp;"",""))</f>
        <v/>
      </c>
      <c r="O41" s="11">
        <f>IF(F41="","",IFERROR(INDEX(Connectors!$J$2:$J$1000,MATCH(F41,Connectors!$A$2:$A$1000,0))&amp;"",""))</f>
        <v/>
      </c>
      <c r="P41" s="9" t="n"/>
      <c r="Q41" s="9" t="n"/>
      <c r="R41" s="12" t="n"/>
      <c r="S41" s="9" t="inlineStr">
        <is>
          <t>Negative HV Measurement</t>
        </is>
      </c>
      <c r="T41" s="9" t="inlineStr">
        <is>
          <t>1 ponta (folha VI)</t>
        </is>
      </c>
      <c r="U41" s="13" t="inlineStr">
        <is>
          <t>I-16</t>
        </is>
      </c>
      <c r="V41" s="11">
        <f>IF(D41="","",IF(COUNTIF(Connectors!$A$2:$A$1000,D41)=0,"from_ref não existe; ","")&amp;IF(COUNTIF(Connectors!$A$2:$A$1000,F41)=0,"to_ref não existe; ","")&amp;IF(AND(H41&lt;&gt;"",COUNTIF(Lists!$A$3:$A$14,H41)=0),"cor inválida; ","")&amp;IF(H41="","sem cor; ","")&amp;IF((K41="Y")&lt;&gt;(H41="OG"),"HV e laranja não batem; ","")&amp;IF(AND(K41="Y",OR(IFERROR(INDEX(Connectors!$F$2:$F$1000,MATCH(D41,Connectors!$A$2:$A$1000,0)),"")&lt;&gt;"Y",IFERROR(INDEX(Connectors!$F$2:$F$1000,MATCH(F41,Connectors!$A$2:$A$1000,0)),"")&lt;&gt;"Y")),"fio HV em ficha não HV rated; ","")&amp;IF(AND(COUNTIF($W$2:$W$1000,W41)+COUNTIF($X$2:$X$1000,W41)&gt;1,ISERROR(MATCH(IFERROR(INDEX(Connectors!$D$2:$D$1000,MATCH(D41,Connectors!$A$2:$A$1000,0)),""),{"SPLICE","STUD"},0))),"pino from com &gt;1 fio; ","")&amp;IF(AND(COUNTIF($W$2:$W$1000,X41)+COUNTIF($X$2:$X$1000,X41)&gt;1,ISERROR(MATCH(IFERROR(INDEX(Connectors!$D$2:$D$1000,MATCH(F41,Connectors!$A$2:$A$1000,0)),""),{"SPLICE","STUD"},0))),"pino to com &gt;1 fio; ","")&amp;IF(I41="","sem secção; ",""))</f>
        <v/>
      </c>
      <c r="W41" s="11">
        <f>IF(D41="","",D41&amp;":"&amp;E41&amp;IF(EXACT(E41,UPPER(E41)),"","|lc"))</f>
        <v/>
      </c>
      <c r="X41" s="11">
        <f>IF(F41="","",F41&amp;":"&amp;G41&amp;IF(EXACT(G41,UPPER(G41)),"","|lc"))</f>
        <v/>
      </c>
      <c r="Y41" s="9" t="n"/>
      <c r="Z41" s="9" t="inlineStr">
        <is>
          <t>no Excel original: "AIR-"</t>
        </is>
      </c>
    </row>
    <row r="42">
      <c r="A42" s="13" t="inlineStr">
        <is>
          <t>W-ACCU-041</t>
        </is>
      </c>
      <c r="B42" s="9" t="inlineStr">
        <is>
          <t>ACCU</t>
        </is>
      </c>
      <c r="C42" s="9" t="inlineStr">
        <is>
          <t>VI_HV_POS</t>
        </is>
      </c>
      <c r="D42" s="9" t="inlineStr">
        <is>
          <t>VI J1</t>
        </is>
      </c>
      <c r="E42" s="9" t="inlineStr">
        <is>
          <t>2</t>
        </is>
      </c>
      <c r="F42" s="9" t="inlineStr">
        <is>
          <t>FUSE 1</t>
        </is>
      </c>
      <c r="G42" s="9" t="inlineStr">
        <is>
          <t>OUT</t>
        </is>
      </c>
      <c r="H42" s="9" t="inlineStr">
        <is>
          <t>OG</t>
        </is>
      </c>
      <c r="I42" s="10" t="n">
        <v>0.5</v>
      </c>
      <c r="J42" s="11">
        <f>IF(I42="","",IFERROR(INDEX(Lists!$F$3:$F$17,MATCH(I42,Lists!$E$3:$E$17,0)),"?"))</f>
        <v/>
      </c>
      <c r="K42" s="9" t="inlineStr">
        <is>
          <t>Y</t>
        </is>
      </c>
      <c r="L42" s="9" t="inlineStr">
        <is>
          <t>600V</t>
        </is>
      </c>
      <c r="M42" s="12" t="n"/>
      <c r="N42" s="11">
        <f>IF(D42="","",IFERROR(INDEX(Connectors!$J$2:$J$1000,MATCH(D42,Connectors!$A$2:$A$1000,0))&amp;"",""))</f>
        <v/>
      </c>
      <c r="O42" s="11">
        <f>IF(F42="","",IFERROR(INDEX(Connectors!$J$2:$J$1000,MATCH(F42,Connectors!$A$2:$A$1000,0))&amp;"",""))</f>
        <v/>
      </c>
      <c r="P42" s="9" t="n"/>
      <c r="Q42" s="9" t="n"/>
      <c r="R42" s="12" t="n"/>
      <c r="S42" s="9" t="inlineStr">
        <is>
          <t>Positive HV Measurement</t>
        </is>
      </c>
      <c r="T42" s="9" t="inlineStr">
        <is>
          <t>1 ponta (folha VI)</t>
        </is>
      </c>
      <c r="U42" s="13" t="inlineStr">
        <is>
          <t>I-16</t>
        </is>
      </c>
      <c r="V42" s="11">
        <f>IF(D42="","",IF(COUNTIF(Connectors!$A$2:$A$1000,D42)=0,"from_ref não existe; ","")&amp;IF(COUNTIF(Connectors!$A$2:$A$1000,F42)=0,"to_ref não existe; ","")&amp;IF(AND(H42&lt;&gt;"",COUNTIF(Lists!$A$3:$A$14,H42)=0),"cor inválida; ","")&amp;IF(H42="","sem cor; ","")&amp;IF((K42="Y")&lt;&gt;(H42="OG"),"HV e laranja não batem; ","")&amp;IF(AND(K42="Y",OR(IFERROR(INDEX(Connectors!$F$2:$F$1000,MATCH(D42,Connectors!$A$2:$A$1000,0)),"")&lt;&gt;"Y",IFERROR(INDEX(Connectors!$F$2:$F$1000,MATCH(F42,Connectors!$A$2:$A$1000,0)),"")&lt;&gt;"Y")),"fio HV em ficha não HV rated; ","")&amp;IF(AND(COUNTIF($W$2:$W$1000,W42)+COUNTIF($X$2:$X$1000,W42)&gt;1,ISERROR(MATCH(IFERROR(INDEX(Connectors!$D$2:$D$1000,MATCH(D42,Connectors!$A$2:$A$1000,0)),""),{"SPLICE","STUD"},0))),"pino from com &gt;1 fio; ","")&amp;IF(AND(COUNTIF($W$2:$W$1000,X42)+COUNTIF($X$2:$X$1000,X42)&gt;1,ISERROR(MATCH(IFERROR(INDEX(Connectors!$D$2:$D$1000,MATCH(F42,Connectors!$A$2:$A$1000,0)),""),{"SPLICE","STUD"},0))),"pino to com &gt;1 fio; ","")&amp;IF(I42="","sem secção; ",""))</f>
        <v/>
      </c>
      <c r="W42" s="11">
        <f>IF(D42="","",D42&amp;":"&amp;E42&amp;IF(EXACT(E42,UPPER(E42)),"","|lc"))</f>
        <v/>
      </c>
      <c r="X42" s="11">
        <f>IF(F42="","",F42&amp;":"&amp;G42&amp;IF(EXACT(G42,UPPER(G42)),"","|lc"))</f>
        <v/>
      </c>
      <c r="Y42" s="9" t="n"/>
      <c r="Z42" s="9" t="n"/>
    </row>
    <row r="43">
      <c r="A43" s="9" t="inlineStr">
        <is>
          <t>W-ACCU-042</t>
        </is>
      </c>
      <c r="B43" s="9" t="inlineStr">
        <is>
          <t>ACCU</t>
        </is>
      </c>
      <c r="C43" s="9" t="inlineStr">
        <is>
          <t>VI_HV_PRE</t>
        </is>
      </c>
      <c r="D43" s="9" t="inlineStr">
        <is>
          <t>VI J1</t>
        </is>
      </c>
      <c r="E43" s="9" t="inlineStr">
        <is>
          <t>3</t>
        </is>
      </c>
      <c r="F43" s="9" t="inlineStr">
        <is>
          <t>FUSE 2</t>
        </is>
      </c>
      <c r="G43" s="9" t="inlineStr">
        <is>
          <t>OUT</t>
        </is>
      </c>
      <c r="H43" s="9" t="inlineStr">
        <is>
          <t>OG</t>
        </is>
      </c>
      <c r="I43" s="10" t="n">
        <v>0.5</v>
      </c>
      <c r="J43" s="11">
        <f>IF(I43="","",IFERROR(INDEX(Lists!$F$3:$F$17,MATCH(I43,Lists!$E$3:$E$17,0)),"?"))</f>
        <v/>
      </c>
      <c r="K43" s="9" t="inlineStr">
        <is>
          <t>Y</t>
        </is>
      </c>
      <c r="L43" s="9" t="inlineStr">
        <is>
          <t>0-600V</t>
        </is>
      </c>
      <c r="M43" s="12" t="n"/>
      <c r="N43" s="11">
        <f>IF(D43="","",IFERROR(INDEX(Connectors!$J$2:$J$1000,MATCH(D43,Connectors!$A$2:$A$1000,0))&amp;"",""))</f>
        <v/>
      </c>
      <c r="O43" s="11">
        <f>IF(F43="","",IFERROR(INDEX(Connectors!$J$2:$J$1000,MATCH(F43,Connectors!$A$2:$A$1000,0))&amp;"",""))</f>
        <v/>
      </c>
      <c r="P43" s="9" t="n"/>
      <c r="Q43" s="9" t="n"/>
      <c r="R43" s="12" t="n"/>
      <c r="S43" s="9" t="inlineStr">
        <is>
          <t>Precharge HV Measurement</t>
        </is>
      </c>
      <c r="T43" s="9" t="inlineStr">
        <is>
          <t>1 ponta (folha VI)</t>
        </is>
      </c>
      <c r="U43" s="9" t="n"/>
      <c r="V43" s="11">
        <f>IF(D43="","",IF(COUNTIF(Connectors!$A$2:$A$1000,D43)=0,"from_ref não existe; ","")&amp;IF(COUNTIF(Connectors!$A$2:$A$1000,F43)=0,"to_ref não existe; ","")&amp;IF(AND(H43&lt;&gt;"",COUNTIF(Lists!$A$3:$A$14,H43)=0),"cor inválida; ","")&amp;IF(H43="","sem cor; ","")&amp;IF((K43="Y")&lt;&gt;(H43="OG"),"HV e laranja não batem; ","")&amp;IF(AND(K43="Y",OR(IFERROR(INDEX(Connectors!$F$2:$F$1000,MATCH(D43,Connectors!$A$2:$A$1000,0)),"")&lt;&gt;"Y",IFERROR(INDEX(Connectors!$F$2:$F$1000,MATCH(F43,Connectors!$A$2:$A$1000,0)),"")&lt;&gt;"Y")),"fio HV em ficha não HV rated; ","")&amp;IF(AND(COUNTIF($W$2:$W$1000,W43)+COUNTIF($X$2:$X$1000,W43)&gt;1,ISERROR(MATCH(IFERROR(INDEX(Connectors!$D$2:$D$1000,MATCH(D43,Connectors!$A$2:$A$1000,0)),""),{"SPLICE","STUD"},0))),"pino from com &gt;1 fio; ","")&amp;IF(AND(COUNTIF($W$2:$W$1000,X43)+COUNTIF($X$2:$X$1000,X43)&gt;1,ISERROR(MATCH(IFERROR(INDEX(Connectors!$D$2:$D$1000,MATCH(F43,Connectors!$A$2:$A$1000,0)),""),{"SPLICE","STUD"},0))),"pino to com &gt;1 fio; ","")&amp;IF(I43="","sem secção; ",""))</f>
        <v/>
      </c>
      <c r="W43" s="11">
        <f>IF(D43="","",D43&amp;":"&amp;E43&amp;IF(EXACT(E43,UPPER(E43)),"","|lc"))</f>
        <v/>
      </c>
      <c r="X43" s="11">
        <f>IF(F43="","",F43&amp;":"&amp;G43&amp;IF(EXACT(G43,UPPER(G43)),"","|lc"))</f>
        <v/>
      </c>
      <c r="Y43" s="9" t="n"/>
      <c r="Z43" s="9" t="n"/>
    </row>
    <row r="44">
      <c r="A44" s="9" t="inlineStr">
        <is>
          <t>W-ACCU-043</t>
        </is>
      </c>
      <c r="B44" s="9" t="inlineStr">
        <is>
          <t>ACCU</t>
        </is>
      </c>
      <c r="C44" s="9" t="inlineStr">
        <is>
          <t>VI_LED_VCC</t>
        </is>
      </c>
      <c r="D44" s="9" t="inlineStr">
        <is>
          <t>VI J3</t>
        </is>
      </c>
      <c r="E44" s="9" t="inlineStr">
        <is>
          <t>1</t>
        </is>
      </c>
      <c r="F44" s="9" t="inlineStr">
        <is>
          <t>VI LED</t>
        </is>
      </c>
      <c r="G44" s="9" t="inlineStr">
        <is>
          <t>1</t>
        </is>
      </c>
      <c r="H44" s="9" t="inlineStr">
        <is>
          <t>YE</t>
        </is>
      </c>
      <c r="I44" s="10" t="n">
        <v>0.5</v>
      </c>
      <c r="J44" s="11">
        <f>IF(I44="","",IFERROR(INDEX(Lists!$F$3:$F$17,MATCH(I44,Lists!$E$3:$E$17,0)),"?"))</f>
        <v/>
      </c>
      <c r="K44" s="9" t="inlineStr">
        <is>
          <t>N</t>
        </is>
      </c>
      <c r="L44" s="9" t="inlineStr">
        <is>
          <t>24V</t>
        </is>
      </c>
      <c r="M44" s="12" t="n"/>
      <c r="N44" s="11">
        <f>IF(D44="","",IFERROR(INDEX(Connectors!$J$2:$J$1000,MATCH(D44,Connectors!$A$2:$A$1000,0))&amp;"",""))</f>
        <v/>
      </c>
      <c r="O44" s="11">
        <f>IF(F44="","",IFERROR(INDEX(Connectors!$J$2:$J$1000,MATCH(F44,Connectors!$A$2:$A$1000,0))&amp;"",""))</f>
        <v/>
      </c>
      <c r="P44" s="9" t="n"/>
      <c r="Q44" s="9" t="n"/>
      <c r="R44" s="9" t="n">
        <v>460</v>
      </c>
      <c r="S44" s="9" t="inlineStr">
        <is>
          <t>Led Power Supply</t>
        </is>
      </c>
      <c r="T44" s="9" t="inlineStr">
        <is>
          <t>1 ponta (folha VI)</t>
        </is>
      </c>
      <c r="U44" s="9" t="n"/>
      <c r="V44" s="11">
        <f>IF(D44="","",IF(COUNTIF(Connectors!$A$2:$A$1000,D44)=0,"from_ref não existe; ","")&amp;IF(COUNTIF(Connectors!$A$2:$A$1000,F44)=0,"to_ref não existe; ","")&amp;IF(AND(H44&lt;&gt;"",COUNTIF(Lists!$A$3:$A$14,H44)=0),"cor inválida; ","")&amp;IF(H44="","sem cor; ","")&amp;IF((K44="Y")&lt;&gt;(H44="OG"),"HV e laranja não batem; ","")&amp;IF(AND(K44="Y",OR(IFERROR(INDEX(Connectors!$F$2:$F$1000,MATCH(D44,Connectors!$A$2:$A$1000,0)),"")&lt;&gt;"Y",IFERROR(INDEX(Connectors!$F$2:$F$1000,MATCH(F44,Connectors!$A$2:$A$1000,0)),"")&lt;&gt;"Y")),"fio HV em ficha não HV rated; ","")&amp;IF(AND(COUNTIF($W$2:$W$1000,W44)+COUNTIF($X$2:$X$1000,W44)&gt;1,ISERROR(MATCH(IFERROR(INDEX(Connectors!$D$2:$D$1000,MATCH(D44,Connectors!$A$2:$A$1000,0)),""),{"SPLICE","STUD"},0))),"pino from com &gt;1 fio; ","")&amp;IF(AND(COUNTIF($W$2:$W$1000,X44)+COUNTIF($X$2:$X$1000,X44)&gt;1,ISERROR(MATCH(IFERROR(INDEX(Connectors!$D$2:$D$1000,MATCH(F44,Connectors!$A$2:$A$1000,0)),""),{"SPLICE","STUD"},0))),"pino to com &gt;1 fio; ","")&amp;IF(I44="","sem secção; ",""))</f>
        <v/>
      </c>
      <c r="W44" s="11">
        <f>IF(D44="","",D44&amp;":"&amp;E44&amp;IF(EXACT(E44,UPPER(E44)),"","|lc"))</f>
        <v/>
      </c>
      <c r="X44" s="11">
        <f>IF(F44="","",F44&amp;":"&amp;G44&amp;IF(EXACT(G44,UPPER(G44)),"","|lc"))</f>
        <v/>
      </c>
      <c r="Y44" s="9" t="n"/>
      <c r="Z44" s="9" t="n"/>
    </row>
    <row r="45">
      <c r="A45" s="9" t="inlineStr">
        <is>
          <t>W-ACCU-044</t>
        </is>
      </c>
      <c r="B45" s="9" t="inlineStr">
        <is>
          <t>ACCU</t>
        </is>
      </c>
      <c r="C45" s="9" t="inlineStr">
        <is>
          <t>VI_LED_GND</t>
        </is>
      </c>
      <c r="D45" s="9" t="inlineStr">
        <is>
          <t>VI J3</t>
        </is>
      </c>
      <c r="E45" s="9" t="inlineStr">
        <is>
          <t>2</t>
        </is>
      </c>
      <c r="F45" s="9" t="inlineStr">
        <is>
          <t>VI LED</t>
        </is>
      </c>
      <c r="G45" s="9" t="inlineStr">
        <is>
          <t>2</t>
        </is>
      </c>
      <c r="H45" s="9" t="inlineStr">
        <is>
          <t>BN</t>
        </is>
      </c>
      <c r="I45" s="10" t="n">
        <v>0.5</v>
      </c>
      <c r="J45" s="11">
        <f>IF(I45="","",IFERROR(INDEX(Lists!$F$3:$F$17,MATCH(I45,Lists!$E$3:$E$17,0)),"?"))</f>
        <v/>
      </c>
      <c r="K45" s="9" t="inlineStr">
        <is>
          <t>N</t>
        </is>
      </c>
      <c r="L45" s="9" t="inlineStr">
        <is>
          <t>0V</t>
        </is>
      </c>
      <c r="M45" s="12" t="n"/>
      <c r="N45" s="11">
        <f>IF(D45="","",IFERROR(INDEX(Connectors!$J$2:$J$1000,MATCH(D45,Connectors!$A$2:$A$1000,0))&amp;"",""))</f>
        <v/>
      </c>
      <c r="O45" s="11">
        <f>IF(F45="","",IFERROR(INDEX(Connectors!$J$2:$J$1000,MATCH(F45,Connectors!$A$2:$A$1000,0))&amp;"",""))</f>
        <v/>
      </c>
      <c r="P45" s="9" t="n"/>
      <c r="Q45" s="9" t="n"/>
      <c r="R45" s="9" t="n">
        <v>460</v>
      </c>
      <c r="S45" s="9" t="inlineStr">
        <is>
          <t>Led Power Supply Ground</t>
        </is>
      </c>
      <c r="T45" s="9" t="inlineStr">
        <is>
          <t>1 ponta (folha VI)</t>
        </is>
      </c>
      <c r="U45" s="9" t="n"/>
      <c r="V45" s="11">
        <f>IF(D45="","",IF(COUNTIF(Connectors!$A$2:$A$1000,D45)=0,"from_ref não existe; ","")&amp;IF(COUNTIF(Connectors!$A$2:$A$1000,F45)=0,"to_ref não existe; ","")&amp;IF(AND(H45&lt;&gt;"",COUNTIF(Lists!$A$3:$A$14,H45)=0),"cor inválida; ","")&amp;IF(H45="","sem cor; ","")&amp;IF((K45="Y")&lt;&gt;(H45="OG"),"HV e laranja não batem; ","")&amp;IF(AND(K45="Y",OR(IFERROR(INDEX(Connectors!$F$2:$F$1000,MATCH(D45,Connectors!$A$2:$A$1000,0)),"")&lt;&gt;"Y",IFERROR(INDEX(Connectors!$F$2:$F$1000,MATCH(F45,Connectors!$A$2:$A$1000,0)),"")&lt;&gt;"Y")),"fio HV em ficha não HV rated; ","")&amp;IF(AND(COUNTIF($W$2:$W$1000,W45)+COUNTIF($X$2:$X$1000,W45)&gt;1,ISERROR(MATCH(IFERROR(INDEX(Connectors!$D$2:$D$1000,MATCH(D45,Connectors!$A$2:$A$1000,0)),""),{"SPLICE","STUD"},0))),"pino from com &gt;1 fio; ","")&amp;IF(AND(COUNTIF($W$2:$W$1000,X45)+COUNTIF($X$2:$X$1000,X45)&gt;1,ISERROR(MATCH(IFERROR(INDEX(Connectors!$D$2:$D$1000,MATCH(F45,Connectors!$A$2:$A$1000,0)),""),{"SPLICE","STUD"},0))),"pino to com &gt;1 fio; ","")&amp;IF(I45="","sem secção; ",""))</f>
        <v/>
      </c>
      <c r="W45" s="11">
        <f>IF(D45="","",D45&amp;":"&amp;E45&amp;IF(EXACT(E45,UPPER(E45)),"","|lc"))</f>
        <v/>
      </c>
      <c r="X45" s="11">
        <f>IF(F45="","",F45&amp;":"&amp;G45&amp;IF(EXACT(G45,UPPER(G45)),"","|lc"))</f>
        <v/>
      </c>
      <c r="Y45" s="9" t="n"/>
      <c r="Z45" s="9" t="n"/>
    </row>
    <row r="46">
      <c r="A46" s="13" t="inlineStr">
        <is>
          <t>W-ACCU-045</t>
        </is>
      </c>
      <c r="B46" s="9" t="inlineStr">
        <is>
          <t>ACCU</t>
        </is>
      </c>
      <c r="C46" s="9" t="inlineStr">
        <is>
          <t>IMD_HV_POS</t>
        </is>
      </c>
      <c r="D46" s="9" t="inlineStr">
        <is>
          <t>IMD XLA</t>
        </is>
      </c>
      <c r="E46" s="9" t="inlineStr">
        <is>
          <t>1</t>
        </is>
      </c>
      <c r="F46" s="9" t="inlineStr">
        <is>
          <t>FUSE 1</t>
        </is>
      </c>
      <c r="G46" s="9" t="inlineStr">
        <is>
          <t>OUT</t>
        </is>
      </c>
      <c r="H46" s="9" t="inlineStr">
        <is>
          <t>OG</t>
        </is>
      </c>
      <c r="I46" s="10" t="n">
        <v>0.5</v>
      </c>
      <c r="J46" s="11">
        <f>IF(I46="","",IFERROR(INDEX(Lists!$F$3:$F$17,MATCH(I46,Lists!$E$3:$E$17,0)),"?"))</f>
        <v/>
      </c>
      <c r="K46" s="9" t="inlineStr">
        <is>
          <t>Y</t>
        </is>
      </c>
      <c r="L46" s="9" t="inlineStr">
        <is>
          <t>600V</t>
        </is>
      </c>
      <c r="M46" s="12" t="n"/>
      <c r="N46" s="11">
        <f>IF(D46="","",IFERROR(INDEX(Connectors!$J$2:$J$1000,MATCH(D46,Connectors!$A$2:$A$1000,0))&amp;"",""))</f>
        <v/>
      </c>
      <c r="O46" s="11">
        <f>IF(F46="","",IFERROR(INDEX(Connectors!$J$2:$J$1000,MATCH(F46,Connectors!$A$2:$A$1000,0))&amp;"",""))</f>
        <v/>
      </c>
      <c r="P46" s="9" t="n"/>
      <c r="Q46" s="9" t="n"/>
      <c r="R46" s="12" t="n"/>
      <c r="S46" s="9" t="inlineStr">
        <is>
          <t>Positive HV Measurement</t>
        </is>
      </c>
      <c r="T46" s="9" t="inlineStr">
        <is>
          <t>1 ponta (folha IMD)</t>
        </is>
      </c>
      <c r="U46" s="13" t="inlineStr">
        <is>
          <t>I-16</t>
        </is>
      </c>
      <c r="V46" s="11">
        <f>IF(D46="","",IF(COUNTIF(Connectors!$A$2:$A$1000,D46)=0,"from_ref não existe; ","")&amp;IF(COUNTIF(Connectors!$A$2:$A$1000,F46)=0,"to_ref não existe; ","")&amp;IF(AND(H46&lt;&gt;"",COUNTIF(Lists!$A$3:$A$14,H46)=0),"cor inválida; ","")&amp;IF(H46="","sem cor; ","")&amp;IF((K46="Y")&lt;&gt;(H46="OG"),"HV e laranja não batem; ","")&amp;IF(AND(K46="Y",OR(IFERROR(INDEX(Connectors!$F$2:$F$1000,MATCH(D46,Connectors!$A$2:$A$1000,0)),"")&lt;&gt;"Y",IFERROR(INDEX(Connectors!$F$2:$F$1000,MATCH(F46,Connectors!$A$2:$A$1000,0)),"")&lt;&gt;"Y")),"fio HV em ficha não HV rated; ","")&amp;IF(AND(COUNTIF($W$2:$W$1000,W46)+COUNTIF($X$2:$X$1000,W46)&gt;1,ISERROR(MATCH(IFERROR(INDEX(Connectors!$D$2:$D$1000,MATCH(D46,Connectors!$A$2:$A$1000,0)),""),{"SPLICE","STUD"},0))),"pino from com &gt;1 fio; ","")&amp;IF(AND(COUNTIF($W$2:$W$1000,X46)+COUNTIF($X$2:$X$1000,X46)&gt;1,ISERROR(MATCH(IFERROR(INDEX(Connectors!$D$2:$D$1000,MATCH(F46,Connectors!$A$2:$A$1000,0)),""),{"SPLICE","STUD"},0))),"pino to com &gt;1 fio; ","")&amp;IF(I46="","sem secção; ",""))</f>
        <v/>
      </c>
      <c r="W46" s="11">
        <f>IF(D46="","",D46&amp;":"&amp;E46&amp;IF(EXACT(E46,UPPER(E46)),"","|lc"))</f>
        <v/>
      </c>
      <c r="X46" s="11">
        <f>IF(F46="","",F46&amp;":"&amp;G46&amp;IF(EXACT(G46,UPPER(G46)),"","|lc"))</f>
        <v/>
      </c>
      <c r="Y46" s="9" t="n"/>
      <c r="Z46" s="9" t="n"/>
    </row>
    <row r="47">
      <c r="A47" s="13" t="inlineStr">
        <is>
          <t>W-ACCU-046</t>
        </is>
      </c>
      <c r="B47" s="9" t="inlineStr">
        <is>
          <t>ACCU</t>
        </is>
      </c>
      <c r="C47" s="9" t="inlineStr">
        <is>
          <t>IMD_HV_NEG</t>
        </is>
      </c>
      <c r="D47" s="9" t="inlineStr">
        <is>
          <t>IMD XLA</t>
        </is>
      </c>
      <c r="E47" s="9" t="inlineStr">
        <is>
          <t>2</t>
        </is>
      </c>
      <c r="F47" s="9" t="inlineStr">
        <is>
          <t>AIR- HV</t>
        </is>
      </c>
      <c r="G47" s="9" t="inlineStr">
        <is>
          <t>A2</t>
        </is>
      </c>
      <c r="H47" s="9" t="inlineStr">
        <is>
          <t>OG</t>
        </is>
      </c>
      <c r="I47" s="10" t="n">
        <v>0.5</v>
      </c>
      <c r="J47" s="11">
        <f>IF(I47="","",IFERROR(INDEX(Lists!$F$3:$F$17,MATCH(I47,Lists!$E$3:$E$17,0)),"?"))</f>
        <v/>
      </c>
      <c r="K47" s="9" t="inlineStr">
        <is>
          <t>Y</t>
        </is>
      </c>
      <c r="L47" s="9" t="inlineStr">
        <is>
          <t>0V</t>
        </is>
      </c>
      <c r="M47" s="12" t="n"/>
      <c r="N47" s="11">
        <f>IF(D47="","",IFERROR(INDEX(Connectors!$J$2:$J$1000,MATCH(D47,Connectors!$A$2:$A$1000,0))&amp;"",""))</f>
        <v/>
      </c>
      <c r="O47" s="11">
        <f>IF(F47="","",IFERROR(INDEX(Connectors!$J$2:$J$1000,MATCH(F47,Connectors!$A$2:$A$1000,0))&amp;"",""))</f>
        <v/>
      </c>
      <c r="P47" s="9" t="n"/>
      <c r="Q47" s="9" t="n"/>
      <c r="R47" s="12" t="n"/>
      <c r="S47" s="9" t="inlineStr">
        <is>
          <t>Negative HV Measurement</t>
        </is>
      </c>
      <c r="T47" s="9" t="inlineStr">
        <is>
          <t>1 ponta (folha IMD)</t>
        </is>
      </c>
      <c r="U47" s="13" t="inlineStr">
        <is>
          <t>I-16</t>
        </is>
      </c>
      <c r="V47" s="11">
        <f>IF(D47="","",IF(COUNTIF(Connectors!$A$2:$A$1000,D47)=0,"from_ref não existe; ","")&amp;IF(COUNTIF(Connectors!$A$2:$A$1000,F47)=0,"to_ref não existe; ","")&amp;IF(AND(H47&lt;&gt;"",COUNTIF(Lists!$A$3:$A$14,H47)=0),"cor inválida; ","")&amp;IF(H47="","sem cor; ","")&amp;IF((K47="Y")&lt;&gt;(H47="OG"),"HV e laranja não batem; ","")&amp;IF(AND(K47="Y",OR(IFERROR(INDEX(Connectors!$F$2:$F$1000,MATCH(D47,Connectors!$A$2:$A$1000,0)),"")&lt;&gt;"Y",IFERROR(INDEX(Connectors!$F$2:$F$1000,MATCH(F47,Connectors!$A$2:$A$1000,0)),"")&lt;&gt;"Y")),"fio HV em ficha não HV rated; ","")&amp;IF(AND(COUNTIF($W$2:$W$1000,W47)+COUNTIF($X$2:$X$1000,W47)&gt;1,ISERROR(MATCH(IFERROR(INDEX(Connectors!$D$2:$D$1000,MATCH(D47,Connectors!$A$2:$A$1000,0)),""),{"SPLICE","STUD"},0))),"pino from com &gt;1 fio; ","")&amp;IF(AND(COUNTIF($W$2:$W$1000,X47)+COUNTIF($X$2:$X$1000,X47)&gt;1,ISERROR(MATCH(IFERROR(INDEX(Connectors!$D$2:$D$1000,MATCH(F47,Connectors!$A$2:$A$1000,0)),""),{"SPLICE","STUD"},0))),"pino to com &gt;1 fio; ","")&amp;IF(I47="","sem secção; ",""))</f>
        <v/>
      </c>
      <c r="W47" s="11">
        <f>IF(D47="","",D47&amp;":"&amp;E47&amp;IF(EXACT(E47,UPPER(E47)),"","|lc"))</f>
        <v/>
      </c>
      <c r="X47" s="11">
        <f>IF(F47="","",F47&amp;":"&amp;G47&amp;IF(EXACT(G47,UPPER(G47)),"","|lc"))</f>
        <v/>
      </c>
      <c r="Y47" s="9" t="n"/>
      <c r="Z47" s="9" t="inlineStr">
        <is>
          <t>no Excel original: "AIR-"</t>
        </is>
      </c>
    </row>
    <row r="48">
      <c r="A48" s="9" t="inlineStr">
        <is>
          <t>W-ACCU-047</t>
        </is>
      </c>
      <c r="B48" s="9" t="inlineStr">
        <is>
          <t>ACCU</t>
        </is>
      </c>
      <c r="C48" s="9" t="inlineStr">
        <is>
          <t>ACCU_CHASSIS_GND</t>
        </is>
      </c>
      <c r="D48" s="9" t="inlineStr">
        <is>
          <t>IMD XK1A</t>
        </is>
      </c>
      <c r="E48" s="9" t="inlineStr">
        <is>
          <t>4</t>
        </is>
      </c>
      <c r="F48" s="9" t="inlineStr">
        <is>
          <t>ACCU CHASSIS</t>
        </is>
      </c>
      <c r="G48" s="9" t="inlineStr">
        <is>
          <t>GND</t>
        </is>
      </c>
      <c r="H48" s="9" t="inlineStr">
        <is>
          <t>BN</t>
        </is>
      </c>
      <c r="I48" s="10" t="n">
        <v>0.5</v>
      </c>
      <c r="J48" s="11">
        <f>IF(I48="","",IFERROR(INDEX(Lists!$F$3:$F$17,MATCH(I48,Lists!$E$3:$E$17,0)),"?"))</f>
        <v/>
      </c>
      <c r="K48" s="9" t="inlineStr">
        <is>
          <t>N</t>
        </is>
      </c>
      <c r="L48" s="9" t="inlineStr">
        <is>
          <t>0V</t>
        </is>
      </c>
      <c r="M48" s="12" t="n"/>
      <c r="N48" s="11">
        <f>IF(D48="","",IFERROR(INDEX(Connectors!$J$2:$J$1000,MATCH(D48,Connectors!$A$2:$A$1000,0))&amp;"",""))</f>
        <v/>
      </c>
      <c r="O48" s="11">
        <f>IF(F48="","",IFERROR(INDEX(Connectors!$J$2:$J$1000,MATCH(F48,Connectors!$A$2:$A$1000,0))&amp;"",""))</f>
        <v/>
      </c>
      <c r="P48" s="9" t="n"/>
      <c r="Q48" s="9" t="n"/>
      <c r="R48" s="12" t="n"/>
      <c r="S48" s="9" t="inlineStr">
        <is>
          <t>Accumulator Ground Signal</t>
        </is>
      </c>
      <c r="T48" s="9" t="inlineStr">
        <is>
          <t>1 ponta (folha IMD)</t>
        </is>
      </c>
      <c r="U48" s="9" t="n"/>
      <c r="V48" s="11">
        <f>IF(D48="","",IF(COUNTIF(Connectors!$A$2:$A$1000,D48)=0,"from_ref não existe; ","")&amp;IF(COUNTIF(Connectors!$A$2:$A$1000,F48)=0,"to_ref não existe; ","")&amp;IF(AND(H48&lt;&gt;"",COUNTIF(Lists!$A$3:$A$14,H48)=0),"cor inválida; ","")&amp;IF(H48="","sem cor; ","")&amp;IF((K48="Y")&lt;&gt;(H48="OG"),"HV e laranja não batem; ","")&amp;IF(AND(K48="Y",OR(IFERROR(INDEX(Connectors!$F$2:$F$1000,MATCH(D48,Connectors!$A$2:$A$1000,0)),"")&lt;&gt;"Y",IFERROR(INDEX(Connectors!$F$2:$F$1000,MATCH(F48,Connectors!$A$2:$A$1000,0)),"")&lt;&gt;"Y")),"fio HV em ficha não HV rated; ","")&amp;IF(AND(COUNTIF($W$2:$W$1000,W48)+COUNTIF($X$2:$X$1000,W48)&gt;1,ISERROR(MATCH(IFERROR(INDEX(Connectors!$D$2:$D$1000,MATCH(D48,Connectors!$A$2:$A$1000,0)),""),{"SPLICE","STUD"},0))),"pino from com &gt;1 fio; ","")&amp;IF(AND(COUNTIF($W$2:$W$1000,X48)+COUNTIF($X$2:$X$1000,X48)&gt;1,ISERROR(MATCH(IFERROR(INDEX(Connectors!$D$2:$D$1000,MATCH(F48,Connectors!$A$2:$A$1000,0)),""),{"SPLICE","STUD"},0))),"pino to com &gt;1 fio; ","")&amp;IF(I48="","sem secção; ",""))</f>
        <v/>
      </c>
      <c r="W48" s="11">
        <f>IF(D48="","",D48&amp;":"&amp;E48&amp;IF(EXACT(E48,UPPER(E48)),"","|lc"))</f>
        <v/>
      </c>
      <c r="X48" s="11">
        <f>IF(F48="","",F48&amp;":"&amp;G48&amp;IF(EXACT(G48,UPPER(G48)),"","|lc"))</f>
        <v/>
      </c>
      <c r="Y48" s="9" t="n"/>
      <c r="Z48" s="9" t="inlineStr">
        <is>
          <t>no Excel original: "ACCU Chassi"</t>
        </is>
      </c>
    </row>
    <row r="49">
      <c r="A49" s="9" t="inlineStr">
        <is>
          <t>W-ACCU-048</t>
        </is>
      </c>
      <c r="B49" s="9" t="inlineStr">
        <is>
          <t>ACCU</t>
        </is>
      </c>
      <c r="C49" s="9" t="inlineStr">
        <is>
          <t>IMD_STATUS</t>
        </is>
      </c>
      <c r="D49" s="9" t="inlineStr">
        <is>
          <t>IMD XK1A</t>
        </is>
      </c>
      <c r="E49" s="9" t="inlineStr">
        <is>
          <t>8</t>
        </is>
      </c>
      <c r="F49" s="9" t="inlineStr">
        <is>
          <t>LATCH J1</t>
        </is>
      </c>
      <c r="G49" s="9" t="inlineStr">
        <is>
          <t>3</t>
        </is>
      </c>
      <c r="H49" s="9" t="inlineStr">
        <is>
          <t>WH</t>
        </is>
      </c>
      <c r="I49" s="10" t="n">
        <v>0.5</v>
      </c>
      <c r="J49" s="11">
        <f>IF(I49="","",IFERROR(INDEX(Lists!$F$3:$F$17,MATCH(I49,Lists!$E$3:$E$17,0)),"?"))</f>
        <v/>
      </c>
      <c r="K49" s="9" t="inlineStr">
        <is>
          <t>N</t>
        </is>
      </c>
      <c r="L49" s="9" t="inlineStr">
        <is>
          <t>24V</t>
        </is>
      </c>
      <c r="M49" s="12" t="n"/>
      <c r="N49" s="11">
        <f>IF(D49="","",IFERROR(INDEX(Connectors!$J$2:$J$1000,MATCH(D49,Connectors!$A$2:$A$1000,0))&amp;"",""))</f>
        <v/>
      </c>
      <c r="O49" s="11">
        <f>IF(F49="","",IFERROR(INDEX(Connectors!$J$2:$J$1000,MATCH(F49,Connectors!$A$2:$A$1000,0))&amp;"",""))</f>
        <v/>
      </c>
      <c r="P49" s="9" t="n"/>
      <c r="Q49" s="9" t="n"/>
      <c r="R49" s="9" t="n">
        <v>265</v>
      </c>
      <c r="S49" s="9" t="inlineStr">
        <is>
          <t>IMD Status Dignal</t>
        </is>
      </c>
      <c r="T49" s="9" t="inlineStr">
        <is>
          <t>2 pontas</t>
        </is>
      </c>
      <c r="U49" s="9" t="n"/>
      <c r="V49" s="11">
        <f>IF(D49="","",IF(COUNTIF(Connectors!$A$2:$A$1000,D49)=0,"from_ref não existe; ","")&amp;IF(COUNTIF(Connectors!$A$2:$A$1000,F49)=0,"to_ref não existe; ","")&amp;IF(AND(H49&lt;&gt;"",COUNTIF(Lists!$A$3:$A$14,H49)=0),"cor inválida; ","")&amp;IF(H49="","sem cor; ","")&amp;IF((K49="Y")&lt;&gt;(H49="OG"),"HV e laranja não batem; ","")&amp;IF(AND(K49="Y",OR(IFERROR(INDEX(Connectors!$F$2:$F$1000,MATCH(D49,Connectors!$A$2:$A$1000,0)),"")&lt;&gt;"Y",IFERROR(INDEX(Connectors!$F$2:$F$1000,MATCH(F49,Connectors!$A$2:$A$1000,0)),"")&lt;&gt;"Y")),"fio HV em ficha não HV rated; ","")&amp;IF(AND(COUNTIF($W$2:$W$1000,W49)+COUNTIF($X$2:$X$1000,W49)&gt;1,ISERROR(MATCH(IFERROR(INDEX(Connectors!$D$2:$D$1000,MATCH(D49,Connectors!$A$2:$A$1000,0)),""),{"SPLICE","STUD"},0))),"pino from com &gt;1 fio; ","")&amp;IF(AND(COUNTIF($W$2:$W$1000,X49)+COUNTIF($X$2:$X$1000,X49)&gt;1,ISERROR(MATCH(IFERROR(INDEX(Connectors!$D$2:$D$1000,MATCH(F49,Connectors!$A$2:$A$1000,0)),""),{"SPLICE","STUD"},0))),"pino to com &gt;1 fio; ","")&amp;IF(I49="","sem secção; ",""))</f>
        <v/>
      </c>
      <c r="W49" s="11">
        <f>IF(D49="","",D49&amp;":"&amp;E49&amp;IF(EXACT(E49,UPPER(E49)),"","|lc"))</f>
        <v/>
      </c>
      <c r="X49" s="11">
        <f>IF(F49="","",F49&amp;":"&amp;G49&amp;IF(EXACT(G49,UPPER(G49)),"","|lc"))</f>
        <v/>
      </c>
      <c r="Y49" s="9" t="n"/>
      <c r="Z49" s="9" t="inlineStr">
        <is>
          <t>no Excel original: "Latchboard"</t>
        </is>
      </c>
    </row>
    <row r="50">
      <c r="A50" s="13" t="inlineStr">
        <is>
          <t>W-ACCU-049</t>
        </is>
      </c>
      <c r="B50" s="9" t="inlineStr">
        <is>
          <t>ACCU</t>
        </is>
      </c>
      <c r="C50" s="9" t="inlineStr">
        <is>
          <t>TSAL_HV_POS</t>
        </is>
      </c>
      <c r="D50" s="9" t="inlineStr">
        <is>
          <t>TSAL J1</t>
        </is>
      </c>
      <c r="E50" s="9" t="inlineStr">
        <is>
          <t>1</t>
        </is>
      </c>
      <c r="F50" s="9" t="inlineStr">
        <is>
          <t>FUSE 1</t>
        </is>
      </c>
      <c r="G50" s="9" t="inlineStr">
        <is>
          <t>OUT</t>
        </is>
      </c>
      <c r="H50" s="9" t="inlineStr">
        <is>
          <t>OG</t>
        </is>
      </c>
      <c r="I50" s="10" t="n">
        <v>0.5</v>
      </c>
      <c r="J50" s="11">
        <f>IF(I50="","",IFERROR(INDEX(Lists!$F$3:$F$17,MATCH(I50,Lists!$E$3:$E$17,0)),"?"))</f>
        <v/>
      </c>
      <c r="K50" s="9" t="inlineStr">
        <is>
          <t>Y</t>
        </is>
      </c>
      <c r="L50" s="9" t="inlineStr">
        <is>
          <t>600V</t>
        </is>
      </c>
      <c r="M50" s="12" t="n"/>
      <c r="N50" s="11">
        <f>IF(D50="","",IFERROR(INDEX(Connectors!$J$2:$J$1000,MATCH(D50,Connectors!$A$2:$A$1000,0))&amp;"",""))</f>
        <v/>
      </c>
      <c r="O50" s="11">
        <f>IF(F50="","",IFERROR(INDEX(Connectors!$J$2:$J$1000,MATCH(F50,Connectors!$A$2:$A$1000,0))&amp;"",""))</f>
        <v/>
      </c>
      <c r="P50" s="9" t="n"/>
      <c r="Q50" s="9" t="n"/>
      <c r="R50" s="12" t="n"/>
      <c r="S50" s="9" t="inlineStr">
        <is>
          <t>Positive HV Measurement</t>
        </is>
      </c>
      <c r="T50" s="9" t="inlineStr">
        <is>
          <t>1 ponta (folha TSAL Green)</t>
        </is>
      </c>
      <c r="U50" s="13" t="inlineStr">
        <is>
          <t>I-16</t>
        </is>
      </c>
      <c r="V50" s="11">
        <f>IF(D50="","",IF(COUNTIF(Connectors!$A$2:$A$1000,D50)=0,"from_ref não existe; ","")&amp;IF(COUNTIF(Connectors!$A$2:$A$1000,F50)=0,"to_ref não existe; ","")&amp;IF(AND(H50&lt;&gt;"",COUNTIF(Lists!$A$3:$A$14,H50)=0),"cor inválida; ","")&amp;IF(H50="","sem cor; ","")&amp;IF((K50="Y")&lt;&gt;(H50="OG"),"HV e laranja não batem; ","")&amp;IF(AND(K50="Y",OR(IFERROR(INDEX(Connectors!$F$2:$F$1000,MATCH(D50,Connectors!$A$2:$A$1000,0)),"")&lt;&gt;"Y",IFERROR(INDEX(Connectors!$F$2:$F$1000,MATCH(F50,Connectors!$A$2:$A$1000,0)),"")&lt;&gt;"Y")),"fio HV em ficha não HV rated; ","")&amp;IF(AND(COUNTIF($W$2:$W$1000,W50)+COUNTIF($X$2:$X$1000,W50)&gt;1,ISERROR(MATCH(IFERROR(INDEX(Connectors!$D$2:$D$1000,MATCH(D50,Connectors!$A$2:$A$1000,0)),""),{"SPLICE","STUD"},0))),"pino from com &gt;1 fio; ","")&amp;IF(AND(COUNTIF($W$2:$W$1000,X50)+COUNTIF($X$2:$X$1000,X50)&gt;1,ISERROR(MATCH(IFERROR(INDEX(Connectors!$D$2:$D$1000,MATCH(F50,Connectors!$A$2:$A$1000,0)),""),{"SPLICE","STUD"},0))),"pino to com &gt;1 fio; ","")&amp;IF(I50="","sem secção; ",""))</f>
        <v/>
      </c>
      <c r="W50" s="11">
        <f>IF(D50="","",D50&amp;":"&amp;E50&amp;IF(EXACT(E50,UPPER(E50)),"","|lc"))</f>
        <v/>
      </c>
      <c r="X50" s="11">
        <f>IF(F50="","",F50&amp;":"&amp;G50&amp;IF(EXACT(G50,UPPER(G50)),"","|lc"))</f>
        <v/>
      </c>
      <c r="Y50" s="9" t="n"/>
      <c r="Z50" s="9" t="n"/>
    </row>
    <row r="51">
      <c r="A51" s="13" t="inlineStr">
        <is>
          <t>W-ACCU-050</t>
        </is>
      </c>
      <c r="B51" s="9" t="inlineStr">
        <is>
          <t>ACCU</t>
        </is>
      </c>
      <c r="C51" s="9" t="inlineStr">
        <is>
          <t>TSAL_HV_NEG</t>
        </is>
      </c>
      <c r="D51" s="9" t="inlineStr">
        <is>
          <t>TSAL J1</t>
        </is>
      </c>
      <c r="E51" s="9" t="inlineStr">
        <is>
          <t>2</t>
        </is>
      </c>
      <c r="F51" s="9" t="inlineStr">
        <is>
          <t>AIR- HV</t>
        </is>
      </c>
      <c r="G51" s="9" t="inlineStr">
        <is>
          <t>A2</t>
        </is>
      </c>
      <c r="H51" s="9" t="inlineStr">
        <is>
          <t>OG</t>
        </is>
      </c>
      <c r="I51" s="10" t="n">
        <v>0.5</v>
      </c>
      <c r="J51" s="11">
        <f>IF(I51="","",IFERROR(INDEX(Lists!$F$3:$F$17,MATCH(I51,Lists!$E$3:$E$17,0)),"?"))</f>
        <v/>
      </c>
      <c r="K51" s="9" t="inlineStr">
        <is>
          <t>Y</t>
        </is>
      </c>
      <c r="L51" s="9" t="inlineStr">
        <is>
          <t>0V</t>
        </is>
      </c>
      <c r="M51" s="12" t="n"/>
      <c r="N51" s="11">
        <f>IF(D51="","",IFERROR(INDEX(Connectors!$J$2:$J$1000,MATCH(D51,Connectors!$A$2:$A$1000,0))&amp;"",""))</f>
        <v/>
      </c>
      <c r="O51" s="11">
        <f>IF(F51="","",IFERROR(INDEX(Connectors!$J$2:$J$1000,MATCH(F51,Connectors!$A$2:$A$1000,0))&amp;"",""))</f>
        <v/>
      </c>
      <c r="P51" s="9" t="n"/>
      <c r="Q51" s="9" t="n"/>
      <c r="R51" s="12" t="n"/>
      <c r="S51" s="9" t="inlineStr">
        <is>
          <t>Negative HV Measurement</t>
        </is>
      </c>
      <c r="T51" s="9" t="inlineStr">
        <is>
          <t>1 ponta (folha TSAL Green)</t>
        </is>
      </c>
      <c r="U51" s="13" t="inlineStr">
        <is>
          <t>I-16</t>
        </is>
      </c>
      <c r="V51" s="11">
        <f>IF(D51="","",IF(COUNTIF(Connectors!$A$2:$A$1000,D51)=0,"from_ref não existe; ","")&amp;IF(COUNTIF(Connectors!$A$2:$A$1000,F51)=0,"to_ref não existe; ","")&amp;IF(AND(H51&lt;&gt;"",COUNTIF(Lists!$A$3:$A$14,H51)=0),"cor inválida; ","")&amp;IF(H51="","sem cor; ","")&amp;IF((K51="Y")&lt;&gt;(H51="OG"),"HV e laranja não batem; ","")&amp;IF(AND(K51="Y",OR(IFERROR(INDEX(Connectors!$F$2:$F$1000,MATCH(D51,Connectors!$A$2:$A$1000,0)),"")&lt;&gt;"Y",IFERROR(INDEX(Connectors!$F$2:$F$1000,MATCH(F51,Connectors!$A$2:$A$1000,0)),"")&lt;&gt;"Y")),"fio HV em ficha não HV rated; ","")&amp;IF(AND(COUNTIF($W$2:$W$1000,W51)+COUNTIF($X$2:$X$1000,W51)&gt;1,ISERROR(MATCH(IFERROR(INDEX(Connectors!$D$2:$D$1000,MATCH(D51,Connectors!$A$2:$A$1000,0)),""),{"SPLICE","STUD"},0))),"pino from com &gt;1 fio; ","")&amp;IF(AND(COUNTIF($W$2:$W$1000,X51)+COUNTIF($X$2:$X$1000,X51)&gt;1,ISERROR(MATCH(IFERROR(INDEX(Connectors!$D$2:$D$1000,MATCH(F51,Connectors!$A$2:$A$1000,0)),""),{"SPLICE","STUD"},0))),"pino to com &gt;1 fio; ","")&amp;IF(I51="","sem secção; ",""))</f>
        <v/>
      </c>
      <c r="W51" s="11">
        <f>IF(D51="","",D51&amp;":"&amp;E51&amp;IF(EXACT(E51,UPPER(E51)),"","|lc"))</f>
        <v/>
      </c>
      <c r="X51" s="11">
        <f>IF(F51="","",F51&amp;":"&amp;G51&amp;IF(EXACT(G51,UPPER(G51)),"","|lc"))</f>
        <v/>
      </c>
      <c r="Y51" s="9" t="n"/>
      <c r="Z51" s="9" t="inlineStr">
        <is>
          <t>no Excel original: "AIR-"</t>
        </is>
      </c>
    </row>
    <row r="52">
      <c r="A52" s="9" t="inlineStr">
        <is>
          <t>W-ACCU-051</t>
        </is>
      </c>
      <c r="B52" s="9" t="inlineStr">
        <is>
          <t>ACCU</t>
        </is>
      </c>
      <c r="C52" s="9" t="inlineStr">
        <is>
          <t>AIR+_REAL</t>
        </is>
      </c>
      <c r="D52" s="9" t="inlineStr">
        <is>
          <t>AMS J10</t>
        </is>
      </c>
      <c r="E52" s="9" t="inlineStr">
        <is>
          <t>3</t>
        </is>
      </c>
      <c r="F52" s="9" t="inlineStr">
        <is>
          <t>TSAL D2</t>
        </is>
      </c>
      <c r="G52" s="9" t="inlineStr">
        <is>
          <t>2</t>
        </is>
      </c>
      <c r="H52" s="9" t="inlineStr">
        <is>
          <t>WH</t>
        </is>
      </c>
      <c r="I52" s="10" t="n">
        <v>0.5</v>
      </c>
      <c r="J52" s="11">
        <f>IF(I52="","",IFERROR(INDEX(Lists!$F$3:$F$17,MATCH(I52,Lists!$E$3:$E$17,0)),"?"))</f>
        <v/>
      </c>
      <c r="K52" s="9" t="inlineStr">
        <is>
          <t>N</t>
        </is>
      </c>
      <c r="L52" s="9" t="inlineStr">
        <is>
          <t>12V</t>
        </is>
      </c>
      <c r="M52" s="12" t="n"/>
      <c r="N52" s="11">
        <f>IF(D52="","",IFERROR(INDEX(Connectors!$J$2:$J$1000,MATCH(D52,Connectors!$A$2:$A$1000,0))&amp;"",""))</f>
        <v/>
      </c>
      <c r="O52" s="11">
        <f>IF(F52="","",IFERROR(INDEX(Connectors!$J$2:$J$1000,MATCH(F52,Connectors!$A$2:$A$1000,0))&amp;"",""))</f>
        <v/>
      </c>
      <c r="P52" s="9" t="n"/>
      <c r="Q52" s="9" t="n"/>
      <c r="R52" s="9" t="n">
        <v>465</v>
      </c>
      <c r="S52" s="9" t="inlineStr">
        <is>
          <t>AIR+ Contactor Feedback Signal</t>
        </is>
      </c>
      <c r="T52" s="9" t="inlineStr">
        <is>
          <t>2 pontas</t>
        </is>
      </c>
      <c r="U52" s="9" t="n"/>
      <c r="V52" s="11">
        <f>IF(D52="","",IF(COUNTIF(Connectors!$A$2:$A$1000,D52)=0,"from_ref não existe; ","")&amp;IF(COUNTIF(Connectors!$A$2:$A$1000,F52)=0,"to_ref não existe; ","")&amp;IF(AND(H52&lt;&gt;"",COUNTIF(Lists!$A$3:$A$14,H52)=0),"cor inválida; ","")&amp;IF(H52="","sem cor; ","")&amp;IF((K52="Y")&lt;&gt;(H52="OG"),"HV e laranja não batem; ","")&amp;IF(AND(K52="Y",OR(IFERROR(INDEX(Connectors!$F$2:$F$1000,MATCH(D52,Connectors!$A$2:$A$1000,0)),"")&lt;&gt;"Y",IFERROR(INDEX(Connectors!$F$2:$F$1000,MATCH(F52,Connectors!$A$2:$A$1000,0)),"")&lt;&gt;"Y")),"fio HV em ficha não HV rated; ","")&amp;IF(AND(COUNTIF($W$2:$W$1000,W52)+COUNTIF($X$2:$X$1000,W52)&gt;1,ISERROR(MATCH(IFERROR(INDEX(Connectors!$D$2:$D$1000,MATCH(D52,Connectors!$A$2:$A$1000,0)),""),{"SPLICE","STUD"},0))),"pino from com &gt;1 fio; ","")&amp;IF(AND(COUNTIF($W$2:$W$1000,X52)+COUNTIF($X$2:$X$1000,X52)&gt;1,ISERROR(MATCH(IFERROR(INDEX(Connectors!$D$2:$D$1000,MATCH(F52,Connectors!$A$2:$A$1000,0)),""),{"SPLICE","STUD"},0))),"pino to com &gt;1 fio; ","")&amp;IF(I52="","sem secção; ",""))</f>
        <v/>
      </c>
      <c r="W52" s="11">
        <f>IF(D52="","",D52&amp;":"&amp;E52&amp;IF(EXACT(E52,UPPER(E52)),"","|lc"))</f>
        <v/>
      </c>
      <c r="X52" s="11">
        <f>IF(F52="","",F52&amp;":"&amp;G52&amp;IF(EXACT(G52,UPPER(G52)),"","|lc"))</f>
        <v/>
      </c>
      <c r="Y52" s="9" t="n"/>
      <c r="Z52" s="9" t="n"/>
    </row>
    <row r="53">
      <c r="A53" s="9" t="inlineStr">
        <is>
          <t>W-ACCU-052</t>
        </is>
      </c>
      <c r="B53" s="9" t="inlineStr">
        <is>
          <t>ACCU</t>
        </is>
      </c>
      <c r="C53" s="9" t="inlineStr">
        <is>
          <t>AIR+_INTEN</t>
        </is>
      </c>
      <c r="D53" s="9" t="inlineStr">
        <is>
          <t>AMS J10</t>
        </is>
      </c>
      <c r="E53" s="9" t="inlineStr">
        <is>
          <t>14</t>
        </is>
      </c>
      <c r="F53" s="9" t="inlineStr">
        <is>
          <t>TSAL D2</t>
        </is>
      </c>
      <c r="G53" s="9" t="inlineStr">
        <is>
          <t>3</t>
        </is>
      </c>
      <c r="H53" s="9" t="inlineStr">
        <is>
          <t>WH</t>
        </is>
      </c>
      <c r="I53" s="10" t="n">
        <v>0.5</v>
      </c>
      <c r="J53" s="11">
        <f>IF(I53="","",IFERROR(INDEX(Lists!$F$3:$F$17,MATCH(I53,Lists!$E$3:$E$17,0)),"?"))</f>
        <v/>
      </c>
      <c r="K53" s="9" t="inlineStr">
        <is>
          <t>N</t>
        </is>
      </c>
      <c r="L53" s="9" t="inlineStr">
        <is>
          <t>12V</t>
        </is>
      </c>
      <c r="M53" s="12" t="n"/>
      <c r="N53" s="11">
        <f>IF(D53="","",IFERROR(INDEX(Connectors!$J$2:$J$1000,MATCH(D53,Connectors!$A$2:$A$1000,0))&amp;"",""))</f>
        <v/>
      </c>
      <c r="O53" s="11">
        <f>IF(F53="","",IFERROR(INDEX(Connectors!$J$2:$J$1000,MATCH(F53,Connectors!$A$2:$A$1000,0))&amp;"",""))</f>
        <v/>
      </c>
      <c r="P53" s="9" t="n"/>
      <c r="Q53" s="9" t="n"/>
      <c r="R53" s="9" t="n">
        <v>465</v>
      </c>
      <c r="S53" s="9" t="inlineStr">
        <is>
          <t>AMS Signal to Air+ Contactor</t>
        </is>
      </c>
      <c r="T53" s="9" t="inlineStr">
        <is>
          <t>2 pontas</t>
        </is>
      </c>
      <c r="U53" s="9" t="n"/>
      <c r="V53" s="11">
        <f>IF(D53="","",IF(COUNTIF(Connectors!$A$2:$A$1000,D53)=0,"from_ref não existe; ","")&amp;IF(COUNTIF(Connectors!$A$2:$A$1000,F53)=0,"to_ref não existe; ","")&amp;IF(AND(H53&lt;&gt;"",COUNTIF(Lists!$A$3:$A$14,H53)=0),"cor inválida; ","")&amp;IF(H53="","sem cor; ","")&amp;IF((K53="Y")&lt;&gt;(H53="OG"),"HV e laranja não batem; ","")&amp;IF(AND(K53="Y",OR(IFERROR(INDEX(Connectors!$F$2:$F$1000,MATCH(D53,Connectors!$A$2:$A$1000,0)),"")&lt;&gt;"Y",IFERROR(INDEX(Connectors!$F$2:$F$1000,MATCH(F53,Connectors!$A$2:$A$1000,0)),"")&lt;&gt;"Y")),"fio HV em ficha não HV rated; ","")&amp;IF(AND(COUNTIF($W$2:$W$1000,W53)+COUNTIF($X$2:$X$1000,W53)&gt;1,ISERROR(MATCH(IFERROR(INDEX(Connectors!$D$2:$D$1000,MATCH(D53,Connectors!$A$2:$A$1000,0)),""),{"SPLICE","STUD"},0))),"pino from com &gt;1 fio; ","")&amp;IF(AND(COUNTIF($W$2:$W$1000,X53)+COUNTIF($X$2:$X$1000,X53)&gt;1,ISERROR(MATCH(IFERROR(INDEX(Connectors!$D$2:$D$1000,MATCH(F53,Connectors!$A$2:$A$1000,0)),""),{"SPLICE","STUD"},0))),"pino to com &gt;1 fio; ","")&amp;IF(I53="","sem secção; ",""))</f>
        <v/>
      </c>
      <c r="W53" s="11">
        <f>IF(D53="","",D53&amp;":"&amp;E53&amp;IF(EXACT(E53,UPPER(E53)),"","|lc"))</f>
        <v/>
      </c>
      <c r="X53" s="11">
        <f>IF(F53="","",F53&amp;":"&amp;G53&amp;IF(EXACT(G53,UPPER(G53)),"","|lc"))</f>
        <v/>
      </c>
      <c r="Y53" s="9" t="n"/>
      <c r="Z53" s="9" t="n"/>
    </row>
    <row r="54">
      <c r="A54" s="9" t="inlineStr">
        <is>
          <t>W-ACCU-053</t>
        </is>
      </c>
      <c r="B54" s="9" t="inlineStr">
        <is>
          <t>ACCU</t>
        </is>
      </c>
      <c r="C54" s="9" t="inlineStr">
        <is>
          <t>AIR-_REAL</t>
        </is>
      </c>
      <c r="D54" s="9" t="inlineStr">
        <is>
          <t>AMS J10</t>
        </is>
      </c>
      <c r="E54" s="9" t="inlineStr">
        <is>
          <t>2</t>
        </is>
      </c>
      <c r="F54" s="9" t="inlineStr">
        <is>
          <t>TSAL D2</t>
        </is>
      </c>
      <c r="G54" s="9" t="inlineStr">
        <is>
          <t>4</t>
        </is>
      </c>
      <c r="H54" s="9" t="inlineStr">
        <is>
          <t>WH</t>
        </is>
      </c>
      <c r="I54" s="10" t="n">
        <v>0.5</v>
      </c>
      <c r="J54" s="11">
        <f>IF(I54="","",IFERROR(INDEX(Lists!$F$3:$F$17,MATCH(I54,Lists!$E$3:$E$17,0)),"?"))</f>
        <v/>
      </c>
      <c r="K54" s="9" t="inlineStr">
        <is>
          <t>N</t>
        </is>
      </c>
      <c r="L54" s="9" t="inlineStr">
        <is>
          <t>12V</t>
        </is>
      </c>
      <c r="M54" s="12" t="n"/>
      <c r="N54" s="11">
        <f>IF(D54="","",IFERROR(INDEX(Connectors!$J$2:$J$1000,MATCH(D54,Connectors!$A$2:$A$1000,0))&amp;"",""))</f>
        <v/>
      </c>
      <c r="O54" s="11">
        <f>IF(F54="","",IFERROR(INDEX(Connectors!$J$2:$J$1000,MATCH(F54,Connectors!$A$2:$A$1000,0))&amp;"",""))</f>
        <v/>
      </c>
      <c r="P54" s="9" t="n"/>
      <c r="Q54" s="9" t="n"/>
      <c r="R54" s="9" t="n">
        <v>465</v>
      </c>
      <c r="S54" s="9" t="inlineStr">
        <is>
          <t>AIR– Contactor Feedback Signal</t>
        </is>
      </c>
      <c r="T54" s="9" t="inlineStr">
        <is>
          <t>2 pontas</t>
        </is>
      </c>
      <c r="U54" s="9" t="n"/>
      <c r="V54" s="11">
        <f>IF(D54="","",IF(COUNTIF(Connectors!$A$2:$A$1000,D54)=0,"from_ref não existe; ","")&amp;IF(COUNTIF(Connectors!$A$2:$A$1000,F54)=0,"to_ref não existe; ","")&amp;IF(AND(H54&lt;&gt;"",COUNTIF(Lists!$A$3:$A$14,H54)=0),"cor inválida; ","")&amp;IF(H54="","sem cor; ","")&amp;IF((K54="Y")&lt;&gt;(H54="OG"),"HV e laranja não batem; ","")&amp;IF(AND(K54="Y",OR(IFERROR(INDEX(Connectors!$F$2:$F$1000,MATCH(D54,Connectors!$A$2:$A$1000,0)),"")&lt;&gt;"Y",IFERROR(INDEX(Connectors!$F$2:$F$1000,MATCH(F54,Connectors!$A$2:$A$1000,0)),"")&lt;&gt;"Y")),"fio HV em ficha não HV rated; ","")&amp;IF(AND(COUNTIF($W$2:$W$1000,W54)+COUNTIF($X$2:$X$1000,W54)&gt;1,ISERROR(MATCH(IFERROR(INDEX(Connectors!$D$2:$D$1000,MATCH(D54,Connectors!$A$2:$A$1000,0)),""),{"SPLICE","STUD"},0))),"pino from com &gt;1 fio; ","")&amp;IF(AND(COUNTIF($W$2:$W$1000,X54)+COUNTIF($X$2:$X$1000,X54)&gt;1,ISERROR(MATCH(IFERROR(INDEX(Connectors!$D$2:$D$1000,MATCH(F54,Connectors!$A$2:$A$1000,0)),""),{"SPLICE","STUD"},0))),"pino to com &gt;1 fio; ","")&amp;IF(I54="","sem secção; ",""))</f>
        <v/>
      </c>
      <c r="W54" s="11">
        <f>IF(D54="","",D54&amp;":"&amp;E54&amp;IF(EXACT(E54,UPPER(E54)),"","|lc"))</f>
        <v/>
      </c>
      <c r="X54" s="11">
        <f>IF(F54="","",F54&amp;":"&amp;G54&amp;IF(EXACT(G54,UPPER(G54)),"","|lc"))</f>
        <v/>
      </c>
      <c r="Y54" s="9" t="n"/>
      <c r="Z54" s="9" t="n"/>
    </row>
    <row r="55">
      <c r="A55" s="13" t="inlineStr">
        <is>
          <t>W-ACCU-054</t>
        </is>
      </c>
      <c r="B55" s="9" t="inlineStr">
        <is>
          <t>ACCU</t>
        </is>
      </c>
      <c r="C55" s="9" t="inlineStr">
        <is>
          <t>AIR-_INTEN</t>
        </is>
      </c>
      <c r="D55" s="9" t="inlineStr">
        <is>
          <t>AMS J10</t>
        </is>
      </c>
      <c r="E55" s="9" t="inlineStr">
        <is>
          <t>15</t>
        </is>
      </c>
      <c r="F55" s="9" t="inlineStr">
        <is>
          <t>TSAL D2</t>
        </is>
      </c>
      <c r="G55" s="9" t="inlineStr">
        <is>
          <t>5</t>
        </is>
      </c>
      <c r="H55" s="9" t="inlineStr">
        <is>
          <t>WH</t>
        </is>
      </c>
      <c r="I55" s="10" t="n">
        <v>0.5</v>
      </c>
      <c r="J55" s="11">
        <f>IF(I55="","",IFERROR(INDEX(Lists!$F$3:$F$17,MATCH(I55,Lists!$E$3:$E$17,0)),"?"))</f>
        <v/>
      </c>
      <c r="K55" s="9" t="inlineStr">
        <is>
          <t>N</t>
        </is>
      </c>
      <c r="L55" s="9" t="inlineStr">
        <is>
          <t>12V</t>
        </is>
      </c>
      <c r="M55" s="12" t="n"/>
      <c r="N55" s="11">
        <f>IF(D55="","",IFERROR(INDEX(Connectors!$J$2:$J$1000,MATCH(D55,Connectors!$A$2:$A$1000,0))&amp;"",""))</f>
        <v/>
      </c>
      <c r="O55" s="11">
        <f>IF(F55="","",IFERROR(INDEX(Connectors!$J$2:$J$1000,MATCH(F55,Connectors!$A$2:$A$1000,0))&amp;"",""))</f>
        <v/>
      </c>
      <c r="P55" s="9" t="n"/>
      <c r="Q55" s="9" t="n"/>
      <c r="R55" s="9" t="n">
        <v>465</v>
      </c>
      <c r="S55" s="9" t="inlineStr">
        <is>
          <t>BMS Signal to AIR– Contactor</t>
        </is>
      </c>
      <c r="T55" s="9" t="inlineStr">
        <is>
          <t>1 ponta (folha TSAL Green)</t>
        </is>
      </c>
      <c r="U55" s="13" t="inlineStr">
        <is>
          <t>I-05</t>
        </is>
      </c>
      <c r="V55" s="11">
        <f>IF(D55="","",IF(COUNTIF(Connectors!$A$2:$A$1000,D55)=0,"from_ref não existe; ","")&amp;IF(COUNTIF(Connectors!$A$2:$A$1000,F55)=0,"to_ref não existe; ","")&amp;IF(AND(H55&lt;&gt;"",COUNTIF(Lists!$A$3:$A$14,H55)=0),"cor inválida; ","")&amp;IF(H55="","sem cor; ","")&amp;IF((K55="Y")&lt;&gt;(H55="OG"),"HV e laranja não batem; ","")&amp;IF(AND(K55="Y",OR(IFERROR(INDEX(Connectors!$F$2:$F$1000,MATCH(D55,Connectors!$A$2:$A$1000,0)),"")&lt;&gt;"Y",IFERROR(INDEX(Connectors!$F$2:$F$1000,MATCH(F55,Connectors!$A$2:$A$1000,0)),"")&lt;&gt;"Y")),"fio HV em ficha não HV rated; ","")&amp;IF(AND(COUNTIF($W$2:$W$1000,W55)+COUNTIF($X$2:$X$1000,W55)&gt;1,ISERROR(MATCH(IFERROR(INDEX(Connectors!$D$2:$D$1000,MATCH(D55,Connectors!$A$2:$A$1000,0)),""),{"SPLICE","STUD"},0))),"pino from com &gt;1 fio; ","")&amp;IF(AND(COUNTIF($W$2:$W$1000,X55)+COUNTIF($X$2:$X$1000,X55)&gt;1,ISERROR(MATCH(IFERROR(INDEX(Connectors!$D$2:$D$1000,MATCH(F55,Connectors!$A$2:$A$1000,0)),""),{"SPLICE","STUD"},0))),"pino to com &gt;1 fio; ","")&amp;IF(I55="","sem secção; ",""))</f>
        <v/>
      </c>
      <c r="W55" s="11">
        <f>IF(D55="","",D55&amp;":"&amp;E55&amp;IF(EXACT(E55,UPPER(E55)),"","|lc"))</f>
        <v/>
      </c>
      <c r="X55" s="11">
        <f>IF(F55="","",F55&amp;":"&amp;G55&amp;IF(EXACT(G55,UPPER(G55)),"","|lc"))</f>
        <v/>
      </c>
      <c r="Y55" s="9" t="n"/>
      <c r="Z55" s="9" t="n"/>
    </row>
    <row r="56">
      <c r="A56" s="13" t="inlineStr">
        <is>
          <t>W-ACCU-055</t>
        </is>
      </c>
      <c r="B56" s="9" t="inlineStr">
        <is>
          <t>ACCU</t>
        </is>
      </c>
      <c r="C56" s="9" t="inlineStr">
        <is>
          <t>PRE_REAL</t>
        </is>
      </c>
      <c r="D56" s="9" t="inlineStr">
        <is>
          <t>AMS J10</t>
        </is>
      </c>
      <c r="E56" s="9" t="inlineStr">
        <is>
          <t>4</t>
        </is>
      </c>
      <c r="F56" s="9" t="inlineStr">
        <is>
          <t>TSAL D2</t>
        </is>
      </c>
      <c r="G56" s="9" t="inlineStr">
        <is>
          <t>7</t>
        </is>
      </c>
      <c r="H56" s="9" t="inlineStr">
        <is>
          <t>WH</t>
        </is>
      </c>
      <c r="I56" s="10" t="n">
        <v>0.5</v>
      </c>
      <c r="J56" s="11">
        <f>IF(I56="","",IFERROR(INDEX(Lists!$F$3:$F$17,MATCH(I56,Lists!$E$3:$E$17,0)),"?"))</f>
        <v/>
      </c>
      <c r="K56" s="9" t="inlineStr">
        <is>
          <t>N</t>
        </is>
      </c>
      <c r="L56" s="9" t="inlineStr">
        <is>
          <t>12V</t>
        </is>
      </c>
      <c r="M56" s="12" t="n"/>
      <c r="N56" s="11">
        <f>IF(D56="","",IFERROR(INDEX(Connectors!$J$2:$J$1000,MATCH(D56,Connectors!$A$2:$A$1000,0))&amp;"",""))</f>
        <v/>
      </c>
      <c r="O56" s="11">
        <f>IF(F56="","",IFERROR(INDEX(Connectors!$J$2:$J$1000,MATCH(F56,Connectors!$A$2:$A$1000,0))&amp;"",""))</f>
        <v/>
      </c>
      <c r="P56" s="9" t="n"/>
      <c r="Q56" s="9" t="n"/>
      <c r="R56" s="9" t="n">
        <v>465</v>
      </c>
      <c r="S56" s="9" t="inlineStr">
        <is>
          <t>Pre-Charge Contactor Feedback Signal</t>
        </is>
      </c>
      <c r="T56" s="9" t="inlineStr">
        <is>
          <t>2 pontas</t>
        </is>
      </c>
      <c r="U56" s="13" t="inlineStr">
        <is>
          <t>I-10</t>
        </is>
      </c>
      <c r="V56" s="11">
        <f>IF(D56="","",IF(COUNTIF(Connectors!$A$2:$A$1000,D56)=0,"from_ref não existe; ","")&amp;IF(COUNTIF(Connectors!$A$2:$A$1000,F56)=0,"to_ref não existe; ","")&amp;IF(AND(H56&lt;&gt;"",COUNTIF(Lists!$A$3:$A$14,H56)=0),"cor inválida; ","")&amp;IF(H56="","sem cor; ","")&amp;IF((K56="Y")&lt;&gt;(H56="OG"),"HV e laranja não batem; ","")&amp;IF(AND(K56="Y",OR(IFERROR(INDEX(Connectors!$F$2:$F$1000,MATCH(D56,Connectors!$A$2:$A$1000,0)),"")&lt;&gt;"Y",IFERROR(INDEX(Connectors!$F$2:$F$1000,MATCH(F56,Connectors!$A$2:$A$1000,0)),"")&lt;&gt;"Y")),"fio HV em ficha não HV rated; ","")&amp;IF(AND(COUNTIF($W$2:$W$1000,W56)+COUNTIF($X$2:$X$1000,W56)&gt;1,ISERROR(MATCH(IFERROR(INDEX(Connectors!$D$2:$D$1000,MATCH(D56,Connectors!$A$2:$A$1000,0)),""),{"SPLICE","STUD"},0))),"pino from com &gt;1 fio; ","")&amp;IF(AND(COUNTIF($W$2:$W$1000,X56)+COUNTIF($X$2:$X$1000,X56)&gt;1,ISERROR(MATCH(IFERROR(INDEX(Connectors!$D$2:$D$1000,MATCH(F56,Connectors!$A$2:$A$1000,0)),""),{"SPLICE","STUD"},0))),"pino to com &gt;1 fio; ","")&amp;IF(I56="","sem secção; ",""))</f>
        <v/>
      </c>
      <c r="W56" s="11">
        <f>IF(D56="","",D56&amp;":"&amp;E56&amp;IF(EXACT(E56,UPPER(E56)),"","|lc"))</f>
        <v/>
      </c>
      <c r="X56" s="11">
        <f>IF(F56="","",F56&amp;":"&amp;G56&amp;IF(EXACT(G56,UPPER(G56)),"","|lc"))</f>
        <v/>
      </c>
      <c r="Y56" s="9" t="n"/>
      <c r="Z56" s="9" t="n"/>
    </row>
    <row r="57">
      <c r="A57" s="13" t="inlineStr">
        <is>
          <t>W-ACCU-056</t>
        </is>
      </c>
      <c r="B57" s="9" t="inlineStr">
        <is>
          <t>ACCU</t>
        </is>
      </c>
      <c r="C57" s="9" t="inlineStr">
        <is>
          <t>PRE_INTEN</t>
        </is>
      </c>
      <c r="D57" s="9" t="inlineStr">
        <is>
          <t>AMS J10</t>
        </is>
      </c>
      <c r="E57" s="9" t="inlineStr">
        <is>
          <t>13</t>
        </is>
      </c>
      <c r="F57" s="9" t="inlineStr">
        <is>
          <t>TSAL D2</t>
        </is>
      </c>
      <c r="G57" s="9" t="inlineStr">
        <is>
          <t>11</t>
        </is>
      </c>
      <c r="H57" s="9" t="inlineStr">
        <is>
          <t>WH</t>
        </is>
      </c>
      <c r="I57" s="10" t="n">
        <v>0.5</v>
      </c>
      <c r="J57" s="11">
        <f>IF(I57="","",IFERROR(INDEX(Lists!$F$3:$F$17,MATCH(I57,Lists!$E$3:$E$17,0)),"?"))</f>
        <v/>
      </c>
      <c r="K57" s="9" t="inlineStr">
        <is>
          <t>N</t>
        </is>
      </c>
      <c r="L57" s="9" t="inlineStr">
        <is>
          <t>12V</t>
        </is>
      </c>
      <c r="M57" s="12" t="n"/>
      <c r="N57" s="11">
        <f>IF(D57="","",IFERROR(INDEX(Connectors!$J$2:$J$1000,MATCH(D57,Connectors!$A$2:$A$1000,0))&amp;"",""))</f>
        <v/>
      </c>
      <c r="O57" s="11">
        <f>IF(F57="","",IFERROR(INDEX(Connectors!$J$2:$J$1000,MATCH(F57,Connectors!$A$2:$A$1000,0))&amp;"",""))</f>
        <v/>
      </c>
      <c r="P57" s="9" t="n"/>
      <c r="Q57" s="9" t="n"/>
      <c r="R57" s="9" t="n">
        <v>465</v>
      </c>
      <c r="S57" s="9" t="inlineStr">
        <is>
          <t>AMS Signal to Pre-Charge Contactor</t>
        </is>
      </c>
      <c r="T57" s="9" t="inlineStr">
        <is>
          <t>2 pontas</t>
        </is>
      </c>
      <c r="U57" s="13" t="inlineStr">
        <is>
          <t>I-10</t>
        </is>
      </c>
      <c r="V57" s="11">
        <f>IF(D57="","",IF(COUNTIF(Connectors!$A$2:$A$1000,D57)=0,"from_ref não existe; ","")&amp;IF(COUNTIF(Connectors!$A$2:$A$1000,F57)=0,"to_ref não existe; ","")&amp;IF(AND(H57&lt;&gt;"",COUNTIF(Lists!$A$3:$A$14,H57)=0),"cor inválida; ","")&amp;IF(H57="","sem cor; ","")&amp;IF((K57="Y")&lt;&gt;(H57="OG"),"HV e laranja não batem; ","")&amp;IF(AND(K57="Y",OR(IFERROR(INDEX(Connectors!$F$2:$F$1000,MATCH(D57,Connectors!$A$2:$A$1000,0)),"")&lt;&gt;"Y",IFERROR(INDEX(Connectors!$F$2:$F$1000,MATCH(F57,Connectors!$A$2:$A$1000,0)),"")&lt;&gt;"Y")),"fio HV em ficha não HV rated; ","")&amp;IF(AND(COUNTIF($W$2:$W$1000,W57)+COUNTIF($X$2:$X$1000,W57)&gt;1,ISERROR(MATCH(IFERROR(INDEX(Connectors!$D$2:$D$1000,MATCH(D57,Connectors!$A$2:$A$1000,0)),""),{"SPLICE","STUD"},0))),"pino from com &gt;1 fio; ","")&amp;IF(AND(COUNTIF($W$2:$W$1000,X57)+COUNTIF($X$2:$X$1000,X57)&gt;1,ISERROR(MATCH(IFERROR(INDEX(Connectors!$D$2:$D$1000,MATCH(F57,Connectors!$A$2:$A$1000,0)),""),{"SPLICE","STUD"},0))),"pino to com &gt;1 fio; ","")&amp;IF(I57="","sem secção; ",""))</f>
        <v/>
      </c>
      <c r="W57" s="11">
        <f>IF(D57="","",D57&amp;":"&amp;E57&amp;IF(EXACT(E57,UPPER(E57)),"","|lc"))</f>
        <v/>
      </c>
      <c r="X57" s="11">
        <f>IF(F57="","",F57&amp;":"&amp;G57&amp;IF(EXACT(G57,UPPER(G57)),"","|lc"))</f>
        <v/>
      </c>
      <c r="Y57" s="9" t="n"/>
      <c r="Z57" s="9" t="n"/>
    </row>
    <row r="58">
      <c r="A58" s="13" t="inlineStr">
        <is>
          <t>W-ACCU-057</t>
        </is>
      </c>
      <c r="B58" s="9" t="inlineStr">
        <is>
          <t>ACCU</t>
        </is>
      </c>
      <c r="C58" s="9" t="inlineStr">
        <is>
          <t>AMS_STATUS</t>
        </is>
      </c>
      <c r="D58" s="9" t="inlineStr">
        <is>
          <t>AMS J12</t>
        </is>
      </c>
      <c r="E58" s="9" t="inlineStr">
        <is>
          <t>10</t>
        </is>
      </c>
      <c r="F58" s="9" t="inlineStr">
        <is>
          <t>LATCH J1</t>
        </is>
      </c>
      <c r="G58" s="9" t="inlineStr">
        <is>
          <t>1</t>
        </is>
      </c>
      <c r="H58" s="9" t="inlineStr">
        <is>
          <t>WH</t>
        </is>
      </c>
      <c r="I58" s="10" t="n">
        <v>0.5</v>
      </c>
      <c r="J58" s="11">
        <f>IF(I58="","",IFERROR(INDEX(Lists!$F$3:$F$17,MATCH(I58,Lists!$E$3:$E$17,0)),"?"))</f>
        <v/>
      </c>
      <c r="K58" s="9" t="inlineStr">
        <is>
          <t>N</t>
        </is>
      </c>
      <c r="L58" s="9" t="inlineStr">
        <is>
          <t>24V</t>
        </is>
      </c>
      <c r="M58" s="12" t="n"/>
      <c r="N58" s="11">
        <f>IF(D58="","",IFERROR(INDEX(Connectors!$J$2:$J$1000,MATCH(D58,Connectors!$A$2:$A$1000,0))&amp;"",""))</f>
        <v/>
      </c>
      <c r="O58" s="11">
        <f>IF(F58="","",IFERROR(INDEX(Connectors!$J$2:$J$1000,MATCH(F58,Connectors!$A$2:$A$1000,0))&amp;"",""))</f>
        <v/>
      </c>
      <c r="P58" s="9" t="n"/>
      <c r="Q58" s="9" t="n"/>
      <c r="R58" s="9" t="n">
        <v>490</v>
      </c>
      <c r="S58" s="9" t="inlineStr">
        <is>
          <t>Signal from AMS Status</t>
        </is>
      </c>
      <c r="T58" s="9" t="inlineStr">
        <is>
          <t>2 pontas</t>
        </is>
      </c>
      <c r="U58" s="13" t="inlineStr">
        <is>
          <t>I-07</t>
        </is>
      </c>
      <c r="V58" s="11">
        <f>IF(D58="","",IF(COUNTIF(Connectors!$A$2:$A$1000,D58)=0,"from_ref não existe; ","")&amp;IF(COUNTIF(Connectors!$A$2:$A$1000,F58)=0,"to_ref não existe; ","")&amp;IF(AND(H58&lt;&gt;"",COUNTIF(Lists!$A$3:$A$14,H58)=0),"cor inválida; ","")&amp;IF(H58="","sem cor; ","")&amp;IF((K58="Y")&lt;&gt;(H58="OG"),"HV e laranja não batem; ","")&amp;IF(AND(K58="Y",OR(IFERROR(INDEX(Connectors!$F$2:$F$1000,MATCH(D58,Connectors!$A$2:$A$1000,0)),"")&lt;&gt;"Y",IFERROR(INDEX(Connectors!$F$2:$F$1000,MATCH(F58,Connectors!$A$2:$A$1000,0)),"")&lt;&gt;"Y")),"fio HV em ficha não HV rated; ","")&amp;IF(AND(COUNTIF($W$2:$W$1000,W58)+COUNTIF($X$2:$X$1000,W58)&gt;1,ISERROR(MATCH(IFERROR(INDEX(Connectors!$D$2:$D$1000,MATCH(D58,Connectors!$A$2:$A$1000,0)),""),{"SPLICE","STUD"},0))),"pino from com &gt;1 fio; ","")&amp;IF(AND(COUNTIF($W$2:$W$1000,X58)+COUNTIF($X$2:$X$1000,X58)&gt;1,ISERROR(MATCH(IFERROR(INDEX(Connectors!$D$2:$D$1000,MATCH(F58,Connectors!$A$2:$A$1000,0)),""),{"SPLICE","STUD"},0))),"pino to com &gt;1 fio; ","")&amp;IF(I58="","sem secção; ",""))</f>
        <v/>
      </c>
      <c r="W58" s="11">
        <f>IF(D58="","",D58&amp;":"&amp;E58&amp;IF(EXACT(E58,UPPER(E58)),"","|lc"))</f>
        <v/>
      </c>
      <c r="X58" s="11">
        <f>IF(F58="","",F58&amp;":"&amp;G58&amp;IF(EXACT(G58,UPPER(G58)),"","|lc"))</f>
        <v/>
      </c>
      <c r="Y58" s="9" t="n"/>
      <c r="Z58" s="9" t="inlineStr">
        <is>
          <t>no Excel original: "LatchBoard J1"</t>
        </is>
      </c>
    </row>
    <row r="59">
      <c r="A59" s="13" t="inlineStr">
        <is>
          <t>W-ACCU-058</t>
        </is>
      </c>
      <c r="B59" s="9" t="inlineStr">
        <is>
          <t>ACCU</t>
        </is>
      </c>
      <c r="C59" s="9" t="inlineStr">
        <is>
          <t>LATCH_SDC</t>
        </is>
      </c>
      <c r="D59" s="9" t="inlineStr">
        <is>
          <t>LATCH J1</t>
        </is>
      </c>
      <c r="E59" s="9" t="inlineStr">
        <is>
          <t>9</t>
        </is>
      </c>
      <c r="F59" s="9" t="inlineStr">
        <is>
          <t>ACCU J2</t>
        </is>
      </c>
      <c r="G59" s="9" t="inlineStr">
        <is>
          <t>IL+</t>
        </is>
      </c>
      <c r="H59" s="9" t="inlineStr">
        <is>
          <t>BU</t>
        </is>
      </c>
      <c r="I59" s="10" t="n">
        <v>0.5</v>
      </c>
      <c r="J59" s="11">
        <f>IF(I59="","",IFERROR(INDEX(Lists!$F$3:$F$17,MATCH(I59,Lists!$E$3:$E$17,0)),"?"))</f>
        <v/>
      </c>
      <c r="K59" s="9" t="inlineStr">
        <is>
          <t>N</t>
        </is>
      </c>
      <c r="L59" s="9" t="inlineStr">
        <is>
          <t>24V</t>
        </is>
      </c>
      <c r="M59" s="12" t="n"/>
      <c r="N59" s="11">
        <f>IF(D59="","",IFERROR(INDEX(Connectors!$J$2:$J$1000,MATCH(D59,Connectors!$A$2:$A$1000,0))&amp;"",""))</f>
        <v/>
      </c>
      <c r="O59" s="11">
        <f>IF(F59="","",IFERROR(INDEX(Connectors!$J$2:$J$1000,MATCH(F59,Connectors!$A$2:$A$1000,0))&amp;"",""))</f>
        <v/>
      </c>
      <c r="P59" s="9" t="n"/>
      <c r="Q59" s="9" t="n"/>
      <c r="R59" s="9" t="n">
        <v>520</v>
      </c>
      <c r="S59" s="9" t="inlineStr">
        <is>
          <t>Shutdown Circuit Out</t>
        </is>
      </c>
      <c r="T59" s="9" t="inlineStr">
        <is>
          <t>1 ponta (folha Latchboard)</t>
        </is>
      </c>
      <c r="U59" s="13" t="inlineStr">
        <is>
          <t>I-06</t>
        </is>
      </c>
      <c r="V59" s="11">
        <f>IF(D59="","",IF(COUNTIF(Connectors!$A$2:$A$1000,D59)=0,"from_ref não existe; ","")&amp;IF(COUNTIF(Connectors!$A$2:$A$1000,F59)=0,"to_ref não existe; ","")&amp;IF(AND(H59&lt;&gt;"",COUNTIF(Lists!$A$3:$A$14,H59)=0),"cor inválida; ","")&amp;IF(H59="","sem cor; ","")&amp;IF((K59="Y")&lt;&gt;(H59="OG"),"HV e laranja não batem; ","")&amp;IF(AND(K59="Y",OR(IFERROR(INDEX(Connectors!$F$2:$F$1000,MATCH(D59,Connectors!$A$2:$A$1000,0)),"")&lt;&gt;"Y",IFERROR(INDEX(Connectors!$F$2:$F$1000,MATCH(F59,Connectors!$A$2:$A$1000,0)),"")&lt;&gt;"Y")),"fio HV em ficha não HV rated; ","")&amp;IF(AND(COUNTIF($W$2:$W$1000,W59)+COUNTIF($X$2:$X$1000,W59)&gt;1,ISERROR(MATCH(IFERROR(INDEX(Connectors!$D$2:$D$1000,MATCH(D59,Connectors!$A$2:$A$1000,0)),""),{"SPLICE","STUD"},0))),"pino from com &gt;1 fio; ","")&amp;IF(AND(COUNTIF($W$2:$W$1000,X59)+COUNTIF($X$2:$X$1000,X59)&gt;1,ISERROR(MATCH(IFERROR(INDEX(Connectors!$D$2:$D$1000,MATCH(F59,Connectors!$A$2:$A$1000,0)),""),{"SPLICE","STUD"},0))),"pino to com &gt;1 fio; ","")&amp;IF(I59="","sem secção; ",""))</f>
        <v/>
      </c>
      <c r="W59" s="11">
        <f>IF(D59="","",D59&amp;":"&amp;E59&amp;IF(EXACT(E59,UPPER(E59)),"","|lc"))</f>
        <v/>
      </c>
      <c r="X59" s="11">
        <f>IF(F59="","",F59&amp;":"&amp;G59&amp;IF(EXACT(G59,UPPER(G59)),"","|lc"))</f>
        <v/>
      </c>
      <c r="Y59" s="9" t="n"/>
      <c r="Z59" s="9" t="n"/>
    </row>
    <row r="60">
      <c r="A60" s="13" t="inlineStr">
        <is>
          <t>W-ACCU-059</t>
        </is>
      </c>
      <c r="B60" s="9" t="inlineStr">
        <is>
          <t>ACCU</t>
        </is>
      </c>
      <c r="C60" s="9" t="inlineStr">
        <is>
          <t>DIS_SDC</t>
        </is>
      </c>
      <c r="D60" s="9" t="inlineStr">
        <is>
          <t>AMS J11</t>
        </is>
      </c>
      <c r="E60" s="9" t="inlineStr">
        <is>
          <t>2</t>
        </is>
      </c>
      <c r="F60" s="9" t="inlineStr">
        <is>
          <t>ACCU J1</t>
        </is>
      </c>
      <c r="G60" s="9" t="inlineStr">
        <is>
          <t>D</t>
        </is>
      </c>
      <c r="H60" s="9" t="inlineStr">
        <is>
          <t>BU</t>
        </is>
      </c>
      <c r="I60" s="10" t="n">
        <v>0.5</v>
      </c>
      <c r="J60" s="11">
        <f>IF(I60="","",IFERROR(INDEX(Lists!$F$3:$F$17,MATCH(I60,Lists!$E$3:$E$17,0)),"?"))</f>
        <v/>
      </c>
      <c r="K60" s="9" t="inlineStr">
        <is>
          <t>N</t>
        </is>
      </c>
      <c r="L60" s="9" t="inlineStr">
        <is>
          <t>24V</t>
        </is>
      </c>
      <c r="M60" s="12" t="n"/>
      <c r="N60" s="11">
        <f>IF(D60="","",IFERROR(INDEX(Connectors!$J$2:$J$1000,MATCH(D60,Connectors!$A$2:$A$1000,0))&amp;"",""))</f>
        <v/>
      </c>
      <c r="O60" s="11">
        <f>IF(F60="","",IFERROR(INDEX(Connectors!$J$2:$J$1000,MATCH(F60,Connectors!$A$2:$A$1000,0))&amp;"",""))</f>
        <v/>
      </c>
      <c r="P60" s="9" t="n"/>
      <c r="Q60" s="9" t="n"/>
      <c r="R60" s="9" t="n">
        <v>415</v>
      </c>
      <c r="S60" s="9" t="inlineStr">
        <is>
          <t>Discharge Contactor Supply</t>
        </is>
      </c>
      <c r="T60" s="9" t="inlineStr">
        <is>
          <t>1 ponta (folha AMS)</t>
        </is>
      </c>
      <c r="U60" s="13" t="inlineStr">
        <is>
          <t>I-02</t>
        </is>
      </c>
      <c r="V60" s="11">
        <f>IF(D60="","",IF(COUNTIF(Connectors!$A$2:$A$1000,D60)=0,"from_ref não existe; ","")&amp;IF(COUNTIF(Connectors!$A$2:$A$1000,F60)=0,"to_ref não existe; ","")&amp;IF(AND(H60&lt;&gt;"",COUNTIF(Lists!$A$3:$A$14,H60)=0),"cor inválida; ","")&amp;IF(H60="","sem cor; ","")&amp;IF((K60="Y")&lt;&gt;(H60="OG"),"HV e laranja não batem; ","")&amp;IF(AND(K60="Y",OR(IFERROR(INDEX(Connectors!$F$2:$F$1000,MATCH(D60,Connectors!$A$2:$A$1000,0)),"")&lt;&gt;"Y",IFERROR(INDEX(Connectors!$F$2:$F$1000,MATCH(F60,Connectors!$A$2:$A$1000,0)),"")&lt;&gt;"Y")),"fio HV em ficha não HV rated; ","")&amp;IF(AND(COUNTIF($W$2:$W$1000,W60)+COUNTIF($X$2:$X$1000,W60)&gt;1,ISERROR(MATCH(IFERROR(INDEX(Connectors!$D$2:$D$1000,MATCH(D60,Connectors!$A$2:$A$1000,0)),""),{"SPLICE","STUD"},0))),"pino from com &gt;1 fio; ","")&amp;IF(AND(COUNTIF($W$2:$W$1000,X60)+COUNTIF($X$2:$X$1000,X60)&gt;1,ISERROR(MATCH(IFERROR(INDEX(Connectors!$D$2:$D$1000,MATCH(F60,Connectors!$A$2:$A$1000,0)),""),{"SPLICE","STUD"},0))),"pino to com &gt;1 fio; ","")&amp;IF(I60="","sem secção; ",""))</f>
        <v/>
      </c>
      <c r="W60" s="11">
        <f>IF(D60="","",D60&amp;":"&amp;E60&amp;IF(EXACT(E60,UPPER(E60)),"","|lc"))</f>
        <v/>
      </c>
      <c r="X60" s="11">
        <f>IF(F60="","",F60&amp;":"&amp;G60&amp;IF(EXACT(G60,UPPER(G60)),"","|lc"))</f>
        <v/>
      </c>
      <c r="Y60" s="9" t="n"/>
      <c r="Z60" s="9" t="n"/>
    </row>
    <row r="61">
      <c r="A61" s="13" t="inlineStr">
        <is>
          <t>W-ACCU-060</t>
        </is>
      </c>
      <c r="B61" s="9" t="inlineStr">
        <is>
          <t>ACCU</t>
        </is>
      </c>
      <c r="C61" s="9" t="inlineStr">
        <is>
          <t>F_FAN_OUT</t>
        </is>
      </c>
      <c r="D61" s="9" t="inlineStr">
        <is>
          <t>AMS J11</t>
        </is>
      </c>
      <c r="E61" s="9" t="inlineStr">
        <is>
          <t>5</t>
        </is>
      </c>
      <c r="F61" s="9" t="inlineStr">
        <is>
          <t>ACCU J1</t>
        </is>
      </c>
      <c r="G61" s="9" t="inlineStr">
        <is>
          <t>N</t>
        </is>
      </c>
      <c r="H61" s="9" t="inlineStr">
        <is>
          <t>WH</t>
        </is>
      </c>
      <c r="I61" s="10" t="n">
        <v>0.5</v>
      </c>
      <c r="J61" s="11">
        <f>IF(I61="","",IFERROR(INDEX(Lists!$F$3:$F$17,MATCH(I61,Lists!$E$3:$E$17,0)),"?"))</f>
        <v/>
      </c>
      <c r="K61" s="9" t="inlineStr">
        <is>
          <t>N</t>
        </is>
      </c>
      <c r="L61" s="9" t="inlineStr">
        <is>
          <t>24V</t>
        </is>
      </c>
      <c r="M61" s="12" t="n"/>
      <c r="N61" s="11">
        <f>IF(D61="","",IFERROR(INDEX(Connectors!$J$2:$J$1000,MATCH(D61,Connectors!$A$2:$A$1000,0))&amp;"",""))</f>
        <v/>
      </c>
      <c r="O61" s="11">
        <f>IF(F61="","",IFERROR(INDEX(Connectors!$J$2:$J$1000,MATCH(F61,Connectors!$A$2:$A$1000,0))&amp;"",""))</f>
        <v/>
      </c>
      <c r="P61" s="9" t="n"/>
      <c r="Q61" s="9" t="n"/>
      <c r="R61" s="9" t="n">
        <v>415</v>
      </c>
      <c r="S61" s="9" t="inlineStr">
        <is>
          <t>AMS Signal to Front Fans Speed</t>
        </is>
      </c>
      <c r="T61" s="9" t="inlineStr">
        <is>
          <t>1 ponta (folha AMS)</t>
        </is>
      </c>
      <c r="U61" s="13" t="inlineStr">
        <is>
          <t>I-03</t>
        </is>
      </c>
      <c r="V61" s="11">
        <f>IF(D61="","",IF(COUNTIF(Connectors!$A$2:$A$1000,D61)=0,"from_ref não existe; ","")&amp;IF(COUNTIF(Connectors!$A$2:$A$1000,F61)=0,"to_ref não existe; ","")&amp;IF(AND(H61&lt;&gt;"",COUNTIF(Lists!$A$3:$A$14,H61)=0),"cor inválida; ","")&amp;IF(H61="","sem cor; ","")&amp;IF((K61="Y")&lt;&gt;(H61="OG"),"HV e laranja não batem; ","")&amp;IF(AND(K61="Y",OR(IFERROR(INDEX(Connectors!$F$2:$F$1000,MATCH(D61,Connectors!$A$2:$A$1000,0)),"")&lt;&gt;"Y",IFERROR(INDEX(Connectors!$F$2:$F$1000,MATCH(F61,Connectors!$A$2:$A$1000,0)),"")&lt;&gt;"Y")),"fio HV em ficha não HV rated; ","")&amp;IF(AND(COUNTIF($W$2:$W$1000,W61)+COUNTIF($X$2:$X$1000,W61)&gt;1,ISERROR(MATCH(IFERROR(INDEX(Connectors!$D$2:$D$1000,MATCH(D61,Connectors!$A$2:$A$1000,0)),""),{"SPLICE","STUD"},0))),"pino from com &gt;1 fio; ","")&amp;IF(AND(COUNTIF($W$2:$W$1000,X61)+COUNTIF($X$2:$X$1000,X61)&gt;1,ISERROR(MATCH(IFERROR(INDEX(Connectors!$D$2:$D$1000,MATCH(F61,Connectors!$A$2:$A$1000,0)),""),{"SPLICE","STUD"},0))),"pino to com &gt;1 fio; ","")&amp;IF(I61="","sem secção; ",""))</f>
        <v/>
      </c>
      <c r="W61" s="11">
        <f>IF(D61="","",D61&amp;":"&amp;E61&amp;IF(EXACT(E61,UPPER(E61)),"","|lc"))</f>
        <v/>
      </c>
      <c r="X61" s="11">
        <f>IF(F61="","",F61&amp;":"&amp;G61&amp;IF(EXACT(G61,UPPER(G61)),"","|lc"))</f>
        <v/>
      </c>
      <c r="Y61" s="9" t="n"/>
      <c r="Z61" s="9" t="n"/>
    </row>
    <row r="62">
      <c r="A62" s="13" t="inlineStr">
        <is>
          <t>W-ACCU-061</t>
        </is>
      </c>
      <c r="B62" s="9" t="inlineStr">
        <is>
          <t>ACCU</t>
        </is>
      </c>
      <c r="C62" s="9" t="inlineStr">
        <is>
          <t>R_FAN_OUT</t>
        </is>
      </c>
      <c r="D62" s="9" t="inlineStr">
        <is>
          <t>AMS J11</t>
        </is>
      </c>
      <c r="E62" s="9" t="inlineStr">
        <is>
          <t>6</t>
        </is>
      </c>
      <c r="F62" s="9" t="inlineStr">
        <is>
          <t>ACCU J1</t>
        </is>
      </c>
      <c r="G62" s="9" t="inlineStr">
        <is>
          <t>P</t>
        </is>
      </c>
      <c r="H62" s="9" t="inlineStr">
        <is>
          <t>WH</t>
        </is>
      </c>
      <c r="I62" s="10" t="n">
        <v>0.5</v>
      </c>
      <c r="J62" s="11">
        <f>IF(I62="","",IFERROR(INDEX(Lists!$F$3:$F$17,MATCH(I62,Lists!$E$3:$E$17,0)),"?"))</f>
        <v/>
      </c>
      <c r="K62" s="9" t="inlineStr">
        <is>
          <t>N</t>
        </is>
      </c>
      <c r="L62" s="9" t="inlineStr">
        <is>
          <t>24V</t>
        </is>
      </c>
      <c r="M62" s="12" t="n"/>
      <c r="N62" s="11">
        <f>IF(D62="","",IFERROR(INDEX(Connectors!$J$2:$J$1000,MATCH(D62,Connectors!$A$2:$A$1000,0))&amp;"",""))</f>
        <v/>
      </c>
      <c r="O62" s="11">
        <f>IF(F62="","",IFERROR(INDEX(Connectors!$J$2:$J$1000,MATCH(F62,Connectors!$A$2:$A$1000,0))&amp;"",""))</f>
        <v/>
      </c>
      <c r="P62" s="9" t="n"/>
      <c r="Q62" s="9" t="n"/>
      <c r="R62" s="9" t="n">
        <v>415</v>
      </c>
      <c r="S62" s="9" t="inlineStr">
        <is>
          <t>AMS Signal to Rear Fans Speed</t>
        </is>
      </c>
      <c r="T62" s="9" t="inlineStr">
        <is>
          <t>1 ponta (folha AMS)</t>
        </is>
      </c>
      <c r="U62" s="13" t="inlineStr">
        <is>
          <t>I-03</t>
        </is>
      </c>
      <c r="V62" s="11">
        <f>IF(D62="","",IF(COUNTIF(Connectors!$A$2:$A$1000,D62)=0,"from_ref não existe; ","")&amp;IF(COUNTIF(Connectors!$A$2:$A$1000,F62)=0,"to_ref não existe; ","")&amp;IF(AND(H62&lt;&gt;"",COUNTIF(Lists!$A$3:$A$14,H62)=0),"cor inválida; ","")&amp;IF(H62="","sem cor; ","")&amp;IF((K62="Y")&lt;&gt;(H62="OG"),"HV e laranja não batem; ","")&amp;IF(AND(K62="Y",OR(IFERROR(INDEX(Connectors!$F$2:$F$1000,MATCH(D62,Connectors!$A$2:$A$1000,0)),"")&lt;&gt;"Y",IFERROR(INDEX(Connectors!$F$2:$F$1000,MATCH(F62,Connectors!$A$2:$A$1000,0)),"")&lt;&gt;"Y")),"fio HV em ficha não HV rated; ","")&amp;IF(AND(COUNTIF($W$2:$W$1000,W62)+COUNTIF($X$2:$X$1000,W62)&gt;1,ISERROR(MATCH(IFERROR(INDEX(Connectors!$D$2:$D$1000,MATCH(D62,Connectors!$A$2:$A$1000,0)),""),{"SPLICE","STUD"},0))),"pino from com &gt;1 fio; ","")&amp;IF(AND(COUNTIF($W$2:$W$1000,X62)+COUNTIF($X$2:$X$1000,X62)&gt;1,ISERROR(MATCH(IFERROR(INDEX(Connectors!$D$2:$D$1000,MATCH(F62,Connectors!$A$2:$A$1000,0)),""),{"SPLICE","STUD"},0))),"pino to com &gt;1 fio; ","")&amp;IF(I62="","sem secção; ",""))</f>
        <v/>
      </c>
      <c r="W62" s="11">
        <f>IF(D62="","",D62&amp;":"&amp;E62&amp;IF(EXACT(E62,UPPER(E62)),"","|lc"))</f>
        <v/>
      </c>
      <c r="X62" s="11">
        <f>IF(F62="","",F62&amp;":"&amp;G62&amp;IF(EXACT(G62,UPPER(G62)),"","|lc"))</f>
        <v/>
      </c>
      <c r="Y62" s="9" t="n"/>
      <c r="Z62" s="9" t="n"/>
    </row>
    <row r="63">
      <c r="A63" s="13" t="inlineStr">
        <is>
          <t>W-ACCU-062</t>
        </is>
      </c>
      <c r="B63" s="9" t="inlineStr">
        <is>
          <t>ACCU</t>
        </is>
      </c>
      <c r="C63" s="9" t="inlineStr">
        <is>
          <t>DIS_TRIGG</t>
        </is>
      </c>
      <c r="D63" s="9" t="inlineStr">
        <is>
          <t>AMS J11</t>
        </is>
      </c>
      <c r="E63" s="9" t="inlineStr">
        <is>
          <t>16</t>
        </is>
      </c>
      <c r="F63" s="9" t="inlineStr">
        <is>
          <t>ACCU J1</t>
        </is>
      </c>
      <c r="G63" s="9" t="inlineStr">
        <is>
          <t>E</t>
        </is>
      </c>
      <c r="H63" s="9" t="inlineStr">
        <is>
          <t>BU</t>
        </is>
      </c>
      <c r="I63" s="10" t="n">
        <v>0.5</v>
      </c>
      <c r="J63" s="11">
        <f>IF(I63="","",IFERROR(INDEX(Lists!$F$3:$F$17,MATCH(I63,Lists!$E$3:$E$17,0)),"?"))</f>
        <v/>
      </c>
      <c r="K63" s="9" t="inlineStr">
        <is>
          <t>N</t>
        </is>
      </c>
      <c r="L63" s="9" t="inlineStr">
        <is>
          <t>24V</t>
        </is>
      </c>
      <c r="M63" s="12" t="n"/>
      <c r="N63" s="11">
        <f>IF(D63="","",IFERROR(INDEX(Connectors!$J$2:$J$1000,MATCH(D63,Connectors!$A$2:$A$1000,0))&amp;"",""))</f>
        <v/>
      </c>
      <c r="O63" s="11">
        <f>IF(F63="","",IFERROR(INDEX(Connectors!$J$2:$J$1000,MATCH(F63,Connectors!$A$2:$A$1000,0))&amp;"",""))</f>
        <v/>
      </c>
      <c r="P63" s="9" t="n"/>
      <c r="Q63" s="9" t="n"/>
      <c r="R63" s="9" t="n">
        <v>415</v>
      </c>
      <c r="S63" s="9" t="inlineStr">
        <is>
          <t>AMS Signal to Discharge Contactor</t>
        </is>
      </c>
      <c r="T63" s="9" t="inlineStr">
        <is>
          <t>1 ponta (folha AMS)</t>
        </is>
      </c>
      <c r="U63" s="13" t="inlineStr">
        <is>
          <t>I-02</t>
        </is>
      </c>
      <c r="V63" s="11">
        <f>IF(D63="","",IF(COUNTIF(Connectors!$A$2:$A$1000,D63)=0,"from_ref não existe; ","")&amp;IF(COUNTIF(Connectors!$A$2:$A$1000,F63)=0,"to_ref não existe; ","")&amp;IF(AND(H63&lt;&gt;"",COUNTIF(Lists!$A$3:$A$14,H63)=0),"cor inválida; ","")&amp;IF(H63="","sem cor; ","")&amp;IF((K63="Y")&lt;&gt;(H63="OG"),"HV e laranja não batem; ","")&amp;IF(AND(K63="Y",OR(IFERROR(INDEX(Connectors!$F$2:$F$1000,MATCH(D63,Connectors!$A$2:$A$1000,0)),"")&lt;&gt;"Y",IFERROR(INDEX(Connectors!$F$2:$F$1000,MATCH(F63,Connectors!$A$2:$A$1000,0)),"")&lt;&gt;"Y")),"fio HV em ficha não HV rated; ","")&amp;IF(AND(COUNTIF($W$2:$W$1000,W63)+COUNTIF($X$2:$X$1000,W63)&gt;1,ISERROR(MATCH(IFERROR(INDEX(Connectors!$D$2:$D$1000,MATCH(D63,Connectors!$A$2:$A$1000,0)),""),{"SPLICE","STUD"},0))),"pino from com &gt;1 fio; ","")&amp;IF(AND(COUNTIF($W$2:$W$1000,X63)+COUNTIF($X$2:$X$1000,X63)&gt;1,ISERROR(MATCH(IFERROR(INDEX(Connectors!$D$2:$D$1000,MATCH(F63,Connectors!$A$2:$A$1000,0)),""),{"SPLICE","STUD"},0))),"pino to com &gt;1 fio; ","")&amp;IF(I63="","sem secção; ",""))</f>
        <v/>
      </c>
      <c r="W63" s="11">
        <f>IF(D63="","",D63&amp;":"&amp;E63&amp;IF(EXACT(E63,UPPER(E63)),"","|lc"))</f>
        <v/>
      </c>
      <c r="X63" s="11">
        <f>IF(F63="","",F63&amp;":"&amp;G63&amp;IF(EXACT(G63,UPPER(G63)),"","|lc"))</f>
        <v/>
      </c>
      <c r="Y63" s="9" t="n"/>
      <c r="Z63" s="9" t="n"/>
    </row>
    <row r="64">
      <c r="A64" s="13" t="inlineStr">
        <is>
          <t>W-ACCU-063</t>
        </is>
      </c>
      <c r="B64" s="9" t="inlineStr">
        <is>
          <t>ACCU</t>
        </is>
      </c>
      <c r="C64" s="9" t="inlineStr">
        <is>
          <t>USB_5V</t>
        </is>
      </c>
      <c r="D64" s="9" t="inlineStr">
        <is>
          <t>ACCU J1</t>
        </is>
      </c>
      <c r="E64" s="9" t="inlineStr">
        <is>
          <t>R</t>
        </is>
      </c>
      <c r="F64" s="9" t="inlineStr">
        <is>
          <t>AMS JUSB</t>
        </is>
      </c>
      <c r="G64" s="9" t="inlineStr">
        <is>
          <t>1</t>
        </is>
      </c>
      <c r="H64" s="9" t="inlineStr">
        <is>
          <t>VT</t>
        </is>
      </c>
      <c r="I64" s="10" t="n">
        <v>0.5</v>
      </c>
      <c r="J64" s="11">
        <f>IF(I64="","",IFERROR(INDEX(Lists!$F$3:$F$17,MATCH(I64,Lists!$E$3:$E$17,0)),"?"))</f>
        <v/>
      </c>
      <c r="K64" s="9" t="inlineStr">
        <is>
          <t>N</t>
        </is>
      </c>
      <c r="L64" s="9" t="inlineStr">
        <is>
          <t>5V</t>
        </is>
      </c>
      <c r="M64" s="12" t="n"/>
      <c r="N64" s="11">
        <f>IF(D64="","",IFERROR(INDEX(Connectors!$J$2:$J$1000,MATCH(D64,Connectors!$A$2:$A$1000,0))&amp;"",""))</f>
        <v/>
      </c>
      <c r="O64" s="11">
        <f>IF(F64="","",IFERROR(INDEX(Connectors!$J$2:$J$1000,MATCH(F64,Connectors!$A$2:$A$1000,0))&amp;"",""))</f>
        <v/>
      </c>
      <c r="P64" s="9" t="n"/>
      <c r="Q64" s="9" t="n"/>
      <c r="R64" s="12" t="n"/>
      <c r="S64" s="9" t="inlineStr">
        <is>
          <t>BMS Debugger Power Supply</t>
        </is>
      </c>
      <c r="T64" s="9" t="inlineStr">
        <is>
          <t>1 ponta (folha AMS)</t>
        </is>
      </c>
      <c r="U64" s="13" t="inlineStr">
        <is>
          <t>I-08</t>
        </is>
      </c>
      <c r="V64" s="11">
        <f>IF(D64="","",IF(COUNTIF(Connectors!$A$2:$A$1000,D64)=0,"from_ref não existe; ","")&amp;IF(COUNTIF(Connectors!$A$2:$A$1000,F64)=0,"to_ref não existe; ","")&amp;IF(AND(H64&lt;&gt;"",COUNTIF(Lists!$A$3:$A$14,H64)=0),"cor inválida; ","")&amp;IF(H64="","sem cor; ","")&amp;IF((K64="Y")&lt;&gt;(H64="OG"),"HV e laranja não batem; ","")&amp;IF(AND(K64="Y",OR(IFERROR(INDEX(Connectors!$F$2:$F$1000,MATCH(D64,Connectors!$A$2:$A$1000,0)),"")&lt;&gt;"Y",IFERROR(INDEX(Connectors!$F$2:$F$1000,MATCH(F64,Connectors!$A$2:$A$1000,0)),"")&lt;&gt;"Y")),"fio HV em ficha não HV rated; ","")&amp;IF(AND(COUNTIF($W$2:$W$1000,W64)+COUNTIF($X$2:$X$1000,W64)&gt;1,ISERROR(MATCH(IFERROR(INDEX(Connectors!$D$2:$D$1000,MATCH(D64,Connectors!$A$2:$A$1000,0)),""),{"SPLICE","STUD"},0))),"pino from com &gt;1 fio; ","")&amp;IF(AND(COUNTIF($W$2:$W$1000,X64)+COUNTIF($X$2:$X$1000,X64)&gt;1,ISERROR(MATCH(IFERROR(INDEX(Connectors!$D$2:$D$1000,MATCH(F64,Connectors!$A$2:$A$1000,0)),""),{"SPLICE","STUD"},0))),"pino to com &gt;1 fio; ","")&amp;IF(I64="","sem secção; ",""))</f>
        <v/>
      </c>
      <c r="W64" s="11">
        <f>IF(D64="","",D64&amp;":"&amp;E64&amp;IF(EXACT(E64,UPPER(E64)),"","|lc"))</f>
        <v/>
      </c>
      <c r="X64" s="11">
        <f>IF(F64="","",F64&amp;":"&amp;G64&amp;IF(EXACT(G64,UPPER(G64)),"","|lc"))</f>
        <v/>
      </c>
      <c r="Y64" s="9" t="n"/>
      <c r="Z64" s="9" t="n"/>
    </row>
    <row r="65">
      <c r="A65" s="13" t="inlineStr">
        <is>
          <t>W-ACCU-064</t>
        </is>
      </c>
      <c r="B65" s="9" t="inlineStr">
        <is>
          <t>ACCU</t>
        </is>
      </c>
      <c r="C65" s="9" t="inlineStr">
        <is>
          <t>USB_P</t>
        </is>
      </c>
      <c r="D65" s="9" t="inlineStr">
        <is>
          <t>ACCU J1</t>
        </is>
      </c>
      <c r="E65" s="9" t="inlineStr">
        <is>
          <t>T</t>
        </is>
      </c>
      <c r="F65" s="9" t="inlineStr">
        <is>
          <t>AMS JUSB</t>
        </is>
      </c>
      <c r="G65" s="9" t="inlineStr">
        <is>
          <t>2</t>
        </is>
      </c>
      <c r="H65" s="9" t="inlineStr">
        <is>
          <t>GN</t>
        </is>
      </c>
      <c r="I65" s="10" t="n">
        <v>0.5</v>
      </c>
      <c r="J65" s="11">
        <f>IF(I65="","",IFERROR(INDEX(Lists!$F$3:$F$17,MATCH(I65,Lists!$E$3:$E$17,0)),"?"))</f>
        <v/>
      </c>
      <c r="K65" s="9" t="inlineStr">
        <is>
          <t>N</t>
        </is>
      </c>
      <c r="L65" s="9" t="inlineStr">
        <is>
          <t>5V</t>
        </is>
      </c>
      <c r="M65" s="12" t="n"/>
      <c r="N65" s="11">
        <f>IF(D65="","",IFERROR(INDEX(Connectors!$J$2:$J$1000,MATCH(D65,Connectors!$A$2:$A$1000,0))&amp;"",""))</f>
        <v/>
      </c>
      <c r="O65" s="11">
        <f>IF(F65="","",IFERROR(INDEX(Connectors!$J$2:$J$1000,MATCH(F65,Connectors!$A$2:$A$1000,0))&amp;"",""))</f>
        <v/>
      </c>
      <c r="P65" s="10" t="inlineStr">
        <is>
          <t>TP4</t>
        </is>
      </c>
      <c r="Q65" s="9" t="n"/>
      <c r="R65" s="12" t="n"/>
      <c r="S65" s="9" t="inlineStr">
        <is>
          <t>BMS Debugger USB High</t>
        </is>
      </c>
      <c r="T65" s="9" t="inlineStr">
        <is>
          <t>1 ponta (folha AMS)</t>
        </is>
      </c>
      <c r="U65" s="13" t="inlineStr">
        <is>
          <t>I-08</t>
        </is>
      </c>
      <c r="V65" s="11">
        <f>IF(D65="","",IF(COUNTIF(Connectors!$A$2:$A$1000,D65)=0,"from_ref não existe; ","")&amp;IF(COUNTIF(Connectors!$A$2:$A$1000,F65)=0,"to_ref não existe; ","")&amp;IF(AND(H65&lt;&gt;"",COUNTIF(Lists!$A$3:$A$14,H65)=0),"cor inválida; ","")&amp;IF(H65="","sem cor; ","")&amp;IF((K65="Y")&lt;&gt;(H65="OG"),"HV e laranja não batem; ","")&amp;IF(AND(K65="Y",OR(IFERROR(INDEX(Connectors!$F$2:$F$1000,MATCH(D65,Connectors!$A$2:$A$1000,0)),"")&lt;&gt;"Y",IFERROR(INDEX(Connectors!$F$2:$F$1000,MATCH(F65,Connectors!$A$2:$A$1000,0)),"")&lt;&gt;"Y")),"fio HV em ficha não HV rated; ","")&amp;IF(AND(COUNTIF($W$2:$W$1000,W65)+COUNTIF($X$2:$X$1000,W65)&gt;1,ISERROR(MATCH(IFERROR(INDEX(Connectors!$D$2:$D$1000,MATCH(D65,Connectors!$A$2:$A$1000,0)),""),{"SPLICE","STUD"},0))),"pino from com &gt;1 fio; ","")&amp;IF(AND(COUNTIF($W$2:$W$1000,X65)+COUNTIF($X$2:$X$1000,X65)&gt;1,ISERROR(MATCH(IFERROR(INDEX(Connectors!$D$2:$D$1000,MATCH(F65,Connectors!$A$2:$A$1000,0)),""),{"SPLICE","STUD"},0))),"pino to com &gt;1 fio; ","")&amp;IF(I65="","sem secção; ",""))</f>
        <v/>
      </c>
      <c r="W65" s="11">
        <f>IF(D65="","",D65&amp;":"&amp;E65&amp;IF(EXACT(E65,UPPER(E65)),"","|lc"))</f>
        <v/>
      </c>
      <c r="X65" s="11">
        <f>IF(F65="","",F65&amp;":"&amp;G65&amp;IF(EXACT(G65,UPPER(G65)),"","|lc"))</f>
        <v/>
      </c>
      <c r="Y65" s="9" t="n"/>
      <c r="Z65" s="9" t="n"/>
    </row>
    <row r="66">
      <c r="A66" s="13" t="inlineStr">
        <is>
          <t>W-ACCU-065</t>
        </is>
      </c>
      <c r="B66" s="9" t="inlineStr">
        <is>
          <t>ACCU</t>
        </is>
      </c>
      <c r="C66" s="9" t="inlineStr">
        <is>
          <t>USB_N</t>
        </is>
      </c>
      <c r="D66" s="9" t="inlineStr">
        <is>
          <t>ACCU J1</t>
        </is>
      </c>
      <c r="E66" s="9" t="inlineStr">
        <is>
          <t>S</t>
        </is>
      </c>
      <c r="F66" s="9" t="inlineStr">
        <is>
          <t>AMS JUSB</t>
        </is>
      </c>
      <c r="G66" s="9" t="inlineStr">
        <is>
          <t>3</t>
        </is>
      </c>
      <c r="H66" s="9" t="inlineStr">
        <is>
          <t>VT</t>
        </is>
      </c>
      <c r="I66" s="10" t="n">
        <v>0.5</v>
      </c>
      <c r="J66" s="11">
        <f>IF(I66="","",IFERROR(INDEX(Lists!$F$3:$F$17,MATCH(I66,Lists!$E$3:$E$17,0)),"?"))</f>
        <v/>
      </c>
      <c r="K66" s="9" t="inlineStr">
        <is>
          <t>N</t>
        </is>
      </c>
      <c r="L66" s="9" t="inlineStr">
        <is>
          <t>5V</t>
        </is>
      </c>
      <c r="M66" s="12" t="n"/>
      <c r="N66" s="11">
        <f>IF(D66="","",IFERROR(INDEX(Connectors!$J$2:$J$1000,MATCH(D66,Connectors!$A$2:$A$1000,0))&amp;"",""))</f>
        <v/>
      </c>
      <c r="O66" s="11">
        <f>IF(F66="","",IFERROR(INDEX(Connectors!$J$2:$J$1000,MATCH(F66,Connectors!$A$2:$A$1000,0))&amp;"",""))</f>
        <v/>
      </c>
      <c r="P66" s="10" t="inlineStr">
        <is>
          <t>TP4</t>
        </is>
      </c>
      <c r="Q66" s="9" t="n"/>
      <c r="R66" s="12" t="n"/>
      <c r="S66" s="9" t="inlineStr">
        <is>
          <t>BMS Debugger USB Low</t>
        </is>
      </c>
      <c r="T66" s="9" t="inlineStr">
        <is>
          <t>1 ponta (folha AMS)</t>
        </is>
      </c>
      <c r="U66" s="13" t="inlineStr">
        <is>
          <t>I-08</t>
        </is>
      </c>
      <c r="V66" s="11">
        <f>IF(D66="","",IF(COUNTIF(Connectors!$A$2:$A$1000,D66)=0,"from_ref não existe; ","")&amp;IF(COUNTIF(Connectors!$A$2:$A$1000,F66)=0,"to_ref não existe; ","")&amp;IF(AND(H66&lt;&gt;"",COUNTIF(Lists!$A$3:$A$14,H66)=0),"cor inválida; ","")&amp;IF(H66="","sem cor; ","")&amp;IF((K66="Y")&lt;&gt;(H66="OG"),"HV e laranja não batem; ","")&amp;IF(AND(K66="Y",OR(IFERROR(INDEX(Connectors!$F$2:$F$1000,MATCH(D66,Connectors!$A$2:$A$1000,0)),"")&lt;&gt;"Y",IFERROR(INDEX(Connectors!$F$2:$F$1000,MATCH(F66,Connectors!$A$2:$A$1000,0)),"")&lt;&gt;"Y")),"fio HV em ficha não HV rated; ","")&amp;IF(AND(COUNTIF($W$2:$W$1000,W66)+COUNTIF($X$2:$X$1000,W66)&gt;1,ISERROR(MATCH(IFERROR(INDEX(Connectors!$D$2:$D$1000,MATCH(D66,Connectors!$A$2:$A$1000,0)),""),{"SPLICE","STUD"},0))),"pino from com &gt;1 fio; ","")&amp;IF(AND(COUNTIF($W$2:$W$1000,X66)+COUNTIF($X$2:$X$1000,X66)&gt;1,ISERROR(MATCH(IFERROR(INDEX(Connectors!$D$2:$D$1000,MATCH(F66,Connectors!$A$2:$A$1000,0)),""),{"SPLICE","STUD"},0))),"pino to com &gt;1 fio; ","")&amp;IF(I66="","sem secção; ",""))</f>
        <v/>
      </c>
      <c r="W66" s="11">
        <f>IF(D66="","",D66&amp;":"&amp;E66&amp;IF(EXACT(E66,UPPER(E66)),"","|lc"))</f>
        <v/>
      </c>
      <c r="X66" s="11">
        <f>IF(F66="","",F66&amp;":"&amp;G66&amp;IF(EXACT(G66,UPPER(G66)),"","|lc"))</f>
        <v/>
      </c>
      <c r="Y66" s="9" t="n"/>
      <c r="Z66" s="9" t="n"/>
    </row>
    <row r="67">
      <c r="A67" s="13" t="inlineStr">
        <is>
          <t>W-ACCU-066</t>
        </is>
      </c>
      <c r="B67" s="9" t="inlineStr">
        <is>
          <t>ACCU</t>
        </is>
      </c>
      <c r="C67" s="9" t="inlineStr">
        <is>
          <t>USB_GND</t>
        </is>
      </c>
      <c r="D67" s="9" t="inlineStr">
        <is>
          <t>ACCU J1</t>
        </is>
      </c>
      <c r="E67" s="9" t="inlineStr">
        <is>
          <t>U</t>
        </is>
      </c>
      <c r="F67" s="9" t="inlineStr">
        <is>
          <t>AMS JUSB</t>
        </is>
      </c>
      <c r="G67" s="9" t="inlineStr">
        <is>
          <t>4</t>
        </is>
      </c>
      <c r="H67" s="9" t="inlineStr">
        <is>
          <t>GN</t>
        </is>
      </c>
      <c r="I67" s="10" t="n">
        <v>0.5</v>
      </c>
      <c r="J67" s="11">
        <f>IF(I67="","",IFERROR(INDEX(Lists!$F$3:$F$17,MATCH(I67,Lists!$E$3:$E$17,0)),"?"))</f>
        <v/>
      </c>
      <c r="K67" s="9" t="inlineStr">
        <is>
          <t>N</t>
        </is>
      </c>
      <c r="L67" s="9" t="inlineStr">
        <is>
          <t>0V</t>
        </is>
      </c>
      <c r="M67" s="12" t="n"/>
      <c r="N67" s="11">
        <f>IF(D67="","",IFERROR(INDEX(Connectors!$J$2:$J$1000,MATCH(D67,Connectors!$A$2:$A$1000,0))&amp;"",""))</f>
        <v/>
      </c>
      <c r="O67" s="11">
        <f>IF(F67="","",IFERROR(INDEX(Connectors!$J$2:$J$1000,MATCH(F67,Connectors!$A$2:$A$1000,0))&amp;"",""))</f>
        <v/>
      </c>
      <c r="P67" s="9" t="n"/>
      <c r="Q67" s="9" t="n"/>
      <c r="R67" s="12" t="n"/>
      <c r="S67" s="9" t="inlineStr">
        <is>
          <t>BMS Debugger GND</t>
        </is>
      </c>
      <c r="T67" s="9" t="inlineStr">
        <is>
          <t>1 ponta (folha AMS)</t>
        </is>
      </c>
      <c r="U67" s="13" t="inlineStr">
        <is>
          <t>I-08</t>
        </is>
      </c>
      <c r="V67" s="11">
        <f>IF(D67="","",IF(COUNTIF(Connectors!$A$2:$A$1000,D67)=0,"from_ref não existe; ","")&amp;IF(COUNTIF(Connectors!$A$2:$A$1000,F67)=0,"to_ref não existe; ","")&amp;IF(AND(H67&lt;&gt;"",COUNTIF(Lists!$A$3:$A$14,H67)=0),"cor inválida; ","")&amp;IF(H67="","sem cor; ","")&amp;IF((K67="Y")&lt;&gt;(H67="OG"),"HV e laranja não batem; ","")&amp;IF(AND(K67="Y",OR(IFERROR(INDEX(Connectors!$F$2:$F$1000,MATCH(D67,Connectors!$A$2:$A$1000,0)),"")&lt;&gt;"Y",IFERROR(INDEX(Connectors!$F$2:$F$1000,MATCH(F67,Connectors!$A$2:$A$1000,0)),"")&lt;&gt;"Y")),"fio HV em ficha não HV rated; ","")&amp;IF(AND(COUNTIF($W$2:$W$1000,W67)+COUNTIF($X$2:$X$1000,W67)&gt;1,ISERROR(MATCH(IFERROR(INDEX(Connectors!$D$2:$D$1000,MATCH(D67,Connectors!$A$2:$A$1000,0)),""),{"SPLICE","STUD"},0))),"pino from com &gt;1 fio; ","")&amp;IF(AND(COUNTIF($W$2:$W$1000,X67)+COUNTIF($X$2:$X$1000,X67)&gt;1,ISERROR(MATCH(IFERROR(INDEX(Connectors!$D$2:$D$1000,MATCH(F67,Connectors!$A$2:$A$1000,0)),""),{"SPLICE","STUD"},0))),"pino to com &gt;1 fio; ","")&amp;IF(I67="","sem secção; ",""))</f>
        <v/>
      </c>
      <c r="W67" s="11">
        <f>IF(D67="","",D67&amp;":"&amp;E67&amp;IF(EXACT(E67,UPPER(E67)),"","|lc"))</f>
        <v/>
      </c>
      <c r="X67" s="11">
        <f>IF(F67="","",F67&amp;":"&amp;G67&amp;IF(EXACT(G67,UPPER(G67)),"","|lc"))</f>
        <v/>
      </c>
      <c r="Y67" s="9" t="n"/>
      <c r="Z67" s="9" t="n"/>
    </row>
  </sheetData>
  <autoFilter ref="A1:Z67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ACCU J1</t>
        </is>
      </c>
      <c r="B2" s="9" t="inlineStr">
        <is>
          <t>ACCU</t>
        </is>
      </c>
      <c r="C2" s="9" t="inlineStr">
        <is>
          <t>ACCU</t>
        </is>
      </c>
      <c r="D2" s="9" t="inlineStr">
        <is>
          <t>CONNECTOR</t>
        </is>
      </c>
      <c r="E2" s="11">
        <f>COUNTIF(Pins!$A$2:$A$1000,A2)</f>
        <v/>
      </c>
      <c r="F2" s="12" t="n"/>
      <c r="G2" s="9" t="inlineStr">
        <is>
          <t>RTS718N32S03</t>
        </is>
      </c>
      <c r="H2" s="9" t="n"/>
      <c r="I2" s="10" t="inlineStr">
        <is>
          <t>Amphenol</t>
        </is>
      </c>
      <c r="J2" s="10" t="inlineStr">
        <is>
          <t>MS20W23F-10</t>
        </is>
      </c>
      <c r="K2" s="9" t="n"/>
      <c r="L2" s="9" t="inlineStr">
        <is>
          <t>T26_15Jan-2026114PerifericosAssembly18x4-1/RTS718N32S03.stp-1</t>
        </is>
      </c>
      <c r="M2" s="10" t="n">
        <v>-0.127</v>
      </c>
      <c r="N2" s="10" t="n">
        <v>0.329</v>
      </c>
      <c r="O2" s="10" t="n">
        <v>1.734</v>
      </c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inlineStr">
        <is>
          <t>P/N = nome da peça no modelo 3D. 32 contactos (A–Z, a–j sem I/O/Q/i) batem com o pinout. Ficha de cabo (contraparte) e contactos por definir. Proposto a partir da lista da equipa (Notion · Connectors Harness): conector principal da caixa (lado da caixa, fêmea).</t>
        </is>
      </c>
      <c r="T2" s="10" t="inlineStr">
        <is>
          <t>F</t>
        </is>
      </c>
    </row>
    <row r="3">
      <c r="A3" s="9" t="inlineStr">
        <is>
          <t>ACCU J2</t>
        </is>
      </c>
      <c r="B3" s="9" t="inlineStr">
        <is>
          <t>ACCU</t>
        </is>
      </c>
      <c r="C3" s="9" t="inlineStr">
        <is>
          <t>ACCU</t>
        </is>
      </c>
      <c r="D3" s="9" t="inlineStr">
        <is>
          <t>CONNECTOR</t>
        </is>
      </c>
      <c r="E3" s="11">
        <f>COUNTIF(Pins!$A$2:$A$1000,A3)</f>
        <v/>
      </c>
      <c r="F3" s="9" t="inlineStr">
        <is>
          <t>Y</t>
        </is>
      </c>
      <c r="G3" s="9" t="inlineStr">
        <is>
          <t>HVSLS600022B1H6</t>
        </is>
      </c>
      <c r="H3" s="9" t="n"/>
      <c r="I3" s="10" t="inlineStr">
        <is>
          <t>Amphenol Sine RTS</t>
        </is>
      </c>
      <c r="J3" s="10" t="inlineStr">
        <is>
          <t>MS20W23F-10</t>
        </is>
      </c>
      <c r="K3" s="9" t="n"/>
      <c r="L3" s="9" t="inlineStr">
        <is>
          <t>T26_15Jan-2026114PerifericosAssembly18x4-1/HVSLS600022B1H6.stp-1</t>
        </is>
      </c>
      <c r="M3" s="10" t="n">
        <v>0.144</v>
      </c>
      <c r="N3" s="10" t="n">
        <v>0.323</v>
      </c>
      <c r="O3" s="10" t="n">
        <v>1.734</v>
      </c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inlineStr">
        <is>
          <t>P/N = nome da peça no modelo 3D. 2 pólos HV (A1/A2) + interlock (IL+/IL-). Proposto a partir da lista da equipa (Notion · Connectors Harness): conector principal da caixa (lado da caixa, fêmea).</t>
        </is>
      </c>
      <c r="T3" s="10" t="inlineStr">
        <is>
          <t>F</t>
        </is>
      </c>
    </row>
    <row r="4">
      <c r="A4" s="9" t="inlineStr">
        <is>
          <t>AIR- HV</t>
        </is>
      </c>
      <c r="B4" s="9" t="inlineStr">
        <is>
          <t>AIR-</t>
        </is>
      </c>
      <c r="C4" s="9" t="inlineStr">
        <is>
          <t>ACCU</t>
        </is>
      </c>
      <c r="D4" s="9" t="inlineStr">
        <is>
          <t>STUD</t>
        </is>
      </c>
      <c r="E4" s="11">
        <f>COUNTIF(Pins!$A$2:$A$1000,A4)</f>
        <v/>
      </c>
      <c r="F4" s="12" t="n"/>
      <c r="G4" s="12" t="n"/>
      <c r="H4" s="9" t="n"/>
      <c r="I4" s="9" t="n"/>
      <c r="J4" s="9" t="n"/>
      <c r="K4" s="9" t="n"/>
      <c r="L4" s="9" t="n"/>
      <c r="M4" s="12" t="n"/>
      <c r="N4" s="12" t="n"/>
      <c r="O4" s="12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n"/>
      <c r="T4" s="9" t="n"/>
    </row>
    <row r="5">
      <c r="A5" s="9" t="inlineStr">
        <is>
          <t>AIR- J1</t>
        </is>
      </c>
      <c r="B5" s="9" t="inlineStr">
        <is>
          <t>AIR-</t>
        </is>
      </c>
      <c r="C5" s="9" t="inlineStr">
        <is>
          <t>ACCU</t>
        </is>
      </c>
      <c r="D5" s="9" t="inlineStr">
        <is>
          <t>CONNECTOR</t>
        </is>
      </c>
      <c r="E5" s="11">
        <f>COUNTIF(Pins!$A$2:$A$1000,A5)</f>
        <v/>
      </c>
      <c r="F5" s="12" t="n"/>
      <c r="G5" s="12" t="n"/>
      <c r="H5" s="9" t="n"/>
      <c r="I5" s="9" t="n"/>
      <c r="J5" s="9" t="n"/>
      <c r="K5" s="9" t="n"/>
      <c r="L5" s="9" t="n"/>
      <c r="M5" s="12" t="n"/>
      <c r="N5" s="12" t="n"/>
      <c r="O5" s="12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n"/>
      <c r="T5" s="12" t="n"/>
    </row>
    <row r="6">
      <c r="A6" s="9" t="inlineStr">
        <is>
          <t>AIR- J2</t>
        </is>
      </c>
      <c r="B6" s="9" t="inlineStr">
        <is>
          <t>AIR-</t>
        </is>
      </c>
      <c r="C6" s="9" t="inlineStr">
        <is>
          <t>ACCU</t>
        </is>
      </c>
      <c r="D6" s="9" t="inlineStr">
        <is>
          <t>CONNECTOR</t>
        </is>
      </c>
      <c r="E6" s="11">
        <f>COUNTIF(Pins!$A$2:$A$1000,A6)</f>
        <v/>
      </c>
      <c r="F6" s="12" t="n"/>
      <c r="G6" s="12" t="n"/>
      <c r="H6" s="9" t="n"/>
      <c r="I6" s="9" t="n"/>
      <c r="J6" s="9" t="n"/>
      <c r="K6" s="9" t="n"/>
      <c r="L6" s="9" t="n"/>
      <c r="M6" s="12" t="n"/>
      <c r="N6" s="12" t="n"/>
      <c r="O6" s="12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n"/>
      <c r="T6" s="12" t="n"/>
    </row>
    <row r="7">
      <c r="A7" s="9" t="inlineStr">
        <is>
          <t>AIR+ HV</t>
        </is>
      </c>
      <c r="B7" s="9" t="inlineStr">
        <is>
          <t>AIR+</t>
        </is>
      </c>
      <c r="C7" s="9" t="inlineStr">
        <is>
          <t>ACCU</t>
        </is>
      </c>
      <c r="D7" s="9" t="inlineStr">
        <is>
          <t>STUD</t>
        </is>
      </c>
      <c r="E7" s="11">
        <f>COUNTIF(Pins!$A$2:$A$1000,A7)</f>
        <v/>
      </c>
      <c r="F7" s="12" t="n"/>
      <c r="G7" s="12" t="n"/>
      <c r="H7" s="9" t="n"/>
      <c r="I7" s="9" t="n"/>
      <c r="J7" s="9" t="n"/>
      <c r="K7" s="9" t="n"/>
      <c r="L7" s="9" t="n"/>
      <c r="M7" s="12" t="n"/>
      <c r="N7" s="12" t="n"/>
      <c r="O7" s="12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n"/>
      <c r="T7" s="9" t="n"/>
    </row>
    <row r="8">
      <c r="A8" s="9" t="inlineStr">
        <is>
          <t>AIR+ J1</t>
        </is>
      </c>
      <c r="B8" s="9" t="inlineStr">
        <is>
          <t>AIR+</t>
        </is>
      </c>
      <c r="C8" s="9" t="inlineStr">
        <is>
          <t>ACCU</t>
        </is>
      </c>
      <c r="D8" s="9" t="inlineStr">
        <is>
          <t>CONNECTOR</t>
        </is>
      </c>
      <c r="E8" s="11">
        <f>COUNTIF(Pins!$A$2:$A$1000,A8)</f>
        <v/>
      </c>
      <c r="F8" s="12" t="n"/>
      <c r="G8" s="12" t="n"/>
      <c r="H8" s="9" t="n"/>
      <c r="I8" s="9" t="n"/>
      <c r="J8" s="9" t="n"/>
      <c r="K8" s="9" t="n"/>
      <c r="L8" s="9" t="n"/>
      <c r="M8" s="12" t="n"/>
      <c r="N8" s="12" t="n"/>
      <c r="O8" s="12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n"/>
      <c r="T8" s="12" t="n"/>
    </row>
    <row r="9">
      <c r="A9" s="9" t="inlineStr">
        <is>
          <t>AIR+ J2</t>
        </is>
      </c>
      <c r="B9" s="9" t="inlineStr">
        <is>
          <t>AIR+</t>
        </is>
      </c>
      <c r="C9" s="9" t="inlineStr">
        <is>
          <t>ACCU</t>
        </is>
      </c>
      <c r="D9" s="9" t="inlineStr">
        <is>
          <t>CONNECTOR</t>
        </is>
      </c>
      <c r="E9" s="11">
        <f>COUNTIF(Pins!$A$2:$A$1000,A9)</f>
        <v/>
      </c>
      <c r="F9" s="12" t="n"/>
      <c r="G9" s="12" t="n"/>
      <c r="H9" s="9" t="n"/>
      <c r="I9" s="9" t="n"/>
      <c r="J9" s="9" t="n"/>
      <c r="K9" s="9" t="n"/>
      <c r="L9" s="9" t="n"/>
      <c r="M9" s="12" t="n"/>
      <c r="N9" s="12" t="n"/>
      <c r="O9" s="12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n"/>
      <c r="T9" s="12" t="n"/>
    </row>
    <row r="10">
      <c r="A10" s="9" t="inlineStr">
        <is>
          <t>PRE HV</t>
        </is>
      </c>
      <c r="B10" s="9" t="inlineStr">
        <is>
          <t>PRE</t>
        </is>
      </c>
      <c r="C10" s="9" t="inlineStr">
        <is>
          <t>ACCU</t>
        </is>
      </c>
      <c r="D10" s="9" t="inlineStr">
        <is>
          <t>STUD</t>
        </is>
      </c>
      <c r="E10" s="11">
        <f>COUNTIF(Pins!$A$2:$A$1000,A10)</f>
        <v/>
      </c>
      <c r="F10" s="12" t="n"/>
      <c r="G10" s="12" t="n"/>
      <c r="H10" s="9" t="n"/>
      <c r="I10" s="9" t="n"/>
      <c r="J10" s="9" t="n"/>
      <c r="K10" s="9" t="n"/>
      <c r="L10" s="9" t="n"/>
      <c r="M10" s="12" t="n"/>
      <c r="N10" s="12" t="n"/>
      <c r="O10" s="12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n"/>
      <c r="T10" s="9" t="n"/>
    </row>
    <row r="11">
      <c r="A11" s="9" t="inlineStr">
        <is>
          <t>PRE J1</t>
        </is>
      </c>
      <c r="B11" s="9" t="inlineStr">
        <is>
          <t>PRE</t>
        </is>
      </c>
      <c r="C11" s="9" t="inlineStr">
        <is>
          <t>ACCU</t>
        </is>
      </c>
      <c r="D11" s="9" t="inlineStr">
        <is>
          <t>CONNECTOR</t>
        </is>
      </c>
      <c r="E11" s="11">
        <f>COUNTIF(Pins!$A$2:$A$1000,A11)</f>
        <v/>
      </c>
      <c r="F11" s="12" t="n"/>
      <c r="G11" s="12" t="n"/>
      <c r="H11" s="9" t="n"/>
      <c r="I11" s="9" t="n"/>
      <c r="J11" s="9" t="n"/>
      <c r="K11" s="9" t="n"/>
      <c r="L11" s="9" t="n"/>
      <c r="M11" s="12" t="n"/>
      <c r="N11" s="12" t="n"/>
      <c r="O11" s="12" t="n"/>
      <c r="P11" s="11">
        <f>IF(COUNTIF(Segments!$B$2:$C$1000,A11)&gt;0,"Y","N")</f>
        <v/>
      </c>
      <c r="Q11" s="11">
        <f>COUNTIF(Wires!$D$2:$D$1000,A11)+COUNTIF(Wires!$F$2:$F$1000,A11)</f>
        <v/>
      </c>
      <c r="R11" s="11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9" t="n"/>
      <c r="T11" s="12" t="n"/>
    </row>
    <row r="12">
      <c r="A12" s="9" t="inlineStr">
        <is>
          <t>PRE J2</t>
        </is>
      </c>
      <c r="B12" s="9" t="inlineStr">
        <is>
          <t>PRE</t>
        </is>
      </c>
      <c r="C12" s="9" t="inlineStr">
        <is>
          <t>ACCU</t>
        </is>
      </c>
      <c r="D12" s="9" t="inlineStr">
        <is>
          <t>CONNECTOR</t>
        </is>
      </c>
      <c r="E12" s="11">
        <f>COUNTIF(Pins!$A$2:$A$1000,A12)</f>
        <v/>
      </c>
      <c r="F12" s="12" t="n"/>
      <c r="G12" s="12" t="n"/>
      <c r="H12" s="9" t="n"/>
      <c r="I12" s="9" t="n"/>
      <c r="J12" s="9" t="n"/>
      <c r="K12" s="9" t="n"/>
      <c r="L12" s="9" t="n"/>
      <c r="M12" s="12" t="n"/>
      <c r="N12" s="12" t="n"/>
      <c r="O12" s="12" t="n"/>
      <c r="P12" s="11">
        <f>IF(COUNTIF(Segments!$B$2:$C$1000,A12)&gt;0,"Y","N")</f>
        <v/>
      </c>
      <c r="Q12" s="11">
        <f>COUNTIF(Wires!$D$2:$D$1000,A12)+COUNTIF(Wires!$F$2:$F$1000,A12)</f>
        <v/>
      </c>
      <c r="R12" s="11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9" t="n"/>
      <c r="T12" s="12" t="n"/>
    </row>
    <row r="13">
      <c r="A13" s="9" t="inlineStr">
        <is>
          <t>ISA HV</t>
        </is>
      </c>
      <c r="B13" s="9" t="inlineStr">
        <is>
          <t>ISA</t>
        </is>
      </c>
      <c r="C13" s="9" t="inlineStr">
        <is>
          <t>ACCU</t>
        </is>
      </c>
      <c r="D13" s="9" t="inlineStr">
        <is>
          <t>STUD</t>
        </is>
      </c>
      <c r="E13" s="11">
        <f>COUNTIF(Pins!$A$2:$A$1000,A13)</f>
        <v/>
      </c>
      <c r="F13" s="12" t="n"/>
      <c r="G13" s="12" t="n"/>
      <c r="H13" s="9" t="n"/>
      <c r="I13" s="9" t="n"/>
      <c r="J13" s="9" t="n"/>
      <c r="K13" s="9" t="n"/>
      <c r="L13" s="9" t="n"/>
      <c r="M13" s="12" t="n"/>
      <c r="N13" s="12" t="n"/>
      <c r="O13" s="12" t="n"/>
      <c r="P13" s="11">
        <f>IF(COUNTIF(Segments!$B$2:$C$1000,A13)&gt;0,"Y","N")</f>
        <v/>
      </c>
      <c r="Q13" s="11">
        <f>COUNTIF(Wires!$D$2:$D$1000,A13)+COUNTIF(Wires!$F$2:$F$1000,A13)</f>
        <v/>
      </c>
      <c r="R13" s="11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9" t="n"/>
      <c r="T13" s="9" t="n"/>
    </row>
    <row r="14">
      <c r="A14" s="9" t="inlineStr">
        <is>
          <t>ISA X1</t>
        </is>
      </c>
      <c r="B14" s="9" t="inlineStr">
        <is>
          <t>ISA</t>
        </is>
      </c>
      <c r="C14" s="9" t="inlineStr">
        <is>
          <t>ACCU</t>
        </is>
      </c>
      <c r="D14" s="9" t="inlineStr">
        <is>
          <t>CONNECTOR</t>
        </is>
      </c>
      <c r="E14" s="11">
        <f>COUNTIF(Pins!$A$2:$A$1000,A14)</f>
        <v/>
      </c>
      <c r="F14" s="12" t="n"/>
      <c r="G14" s="12" t="n"/>
      <c r="H14" s="9" t="n"/>
      <c r="I14" s="9" t="n"/>
      <c r="J14" s="9" t="n"/>
      <c r="K14" s="9" t="n"/>
      <c r="L14" s="9" t="n"/>
      <c r="M14" s="12" t="n"/>
      <c r="N14" s="12" t="n"/>
      <c r="O14" s="12" t="n"/>
      <c r="P14" s="11">
        <f>IF(COUNTIF(Segments!$B$2:$C$1000,A14)&gt;0,"Y","N")</f>
        <v/>
      </c>
      <c r="Q14" s="11">
        <f>COUNTIF(Wires!$D$2:$D$1000,A14)+COUNTIF(Wires!$F$2:$F$1000,A14)</f>
        <v/>
      </c>
      <c r="R14" s="11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9" t="n"/>
      <c r="T14" s="12" t="n"/>
    </row>
    <row r="15">
      <c r="A15" s="9" t="inlineStr">
        <is>
          <t>VI J1</t>
        </is>
      </c>
      <c r="B15" s="9" t="inlineStr">
        <is>
          <t>VI</t>
        </is>
      </c>
      <c r="C15" s="9" t="inlineStr">
        <is>
          <t>ACCU</t>
        </is>
      </c>
      <c r="D15" s="9" t="inlineStr">
        <is>
          <t>CONNECTOR</t>
        </is>
      </c>
      <c r="E15" s="11">
        <f>COUNTIF(Pins!$A$2:$A$1000,A15)</f>
        <v/>
      </c>
      <c r="F15" s="12" t="n"/>
      <c r="G15" s="12" t="n"/>
      <c r="H15" s="9" t="n"/>
      <c r="I15" s="9" t="n"/>
      <c r="J15" s="9" t="n"/>
      <c r="K15" s="9" t="n"/>
      <c r="L15" s="9" t="inlineStr">
        <is>
          <t>T26_15Jan-2026114VoltageIndicator_V3.002</t>
        </is>
      </c>
      <c r="M15" s="10" t="n">
        <v>-0.063</v>
      </c>
      <c r="N15" s="10" t="n">
        <v>0.252</v>
      </c>
      <c r="O15" s="10" t="n">
        <v>1.778</v>
      </c>
      <c r="P15" s="11">
        <f>IF(COUNTIF(Segments!$B$2:$C$1000,A15)&gt;0,"Y","N")</f>
        <v/>
      </c>
      <c r="Q15" s="11">
        <f>COUNTIF(Wires!$D$2:$D$1000,A15)+COUNTIF(Wires!$F$2:$F$1000,A15)</f>
        <v/>
      </c>
      <c r="R15" s="11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9" t="n"/>
      <c r="T15" s="12" t="n"/>
    </row>
    <row r="16">
      <c r="A16" s="9" t="inlineStr">
        <is>
          <t>VI J3</t>
        </is>
      </c>
      <c r="B16" s="9" t="inlineStr">
        <is>
          <t>VI</t>
        </is>
      </c>
      <c r="C16" s="9" t="inlineStr">
        <is>
          <t>ACCU</t>
        </is>
      </c>
      <c r="D16" s="9" t="inlineStr">
        <is>
          <t>CONNECTOR</t>
        </is>
      </c>
      <c r="E16" s="11">
        <f>COUNTIF(Pins!$A$2:$A$1000,A16)</f>
        <v/>
      </c>
      <c r="F16" s="12" t="n"/>
      <c r="G16" s="12" t="n"/>
      <c r="H16" s="9" t="n"/>
      <c r="I16" s="9" t="n"/>
      <c r="J16" s="9" t="n"/>
      <c r="K16" s="9" t="n"/>
      <c r="L16" s="9" t="inlineStr">
        <is>
          <t>T26_15Jan-2026114VoltageIndicator_V3.002</t>
        </is>
      </c>
      <c r="M16" s="10" t="n">
        <v>-0.063</v>
      </c>
      <c r="N16" s="10" t="n">
        <v>0.252</v>
      </c>
      <c r="O16" s="10" t="n">
        <v>1.778</v>
      </c>
      <c r="P16" s="11">
        <f>IF(COUNTIF(Segments!$B$2:$C$1000,A16)&gt;0,"Y","N")</f>
        <v/>
      </c>
      <c r="Q16" s="11">
        <f>COUNTIF(Wires!$D$2:$D$1000,A16)+COUNTIF(Wires!$F$2:$F$1000,A16)</f>
        <v/>
      </c>
      <c r="R16" s="11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9" t="n"/>
      <c r="T16" s="12" t="n"/>
    </row>
    <row r="17">
      <c r="A17" s="9" t="inlineStr">
        <is>
          <t>IMD XLA</t>
        </is>
      </c>
      <c r="B17" s="9" t="inlineStr">
        <is>
          <t>IMD</t>
        </is>
      </c>
      <c r="C17" s="9" t="inlineStr">
        <is>
          <t>ACCU</t>
        </is>
      </c>
      <c r="D17" s="9" t="inlineStr">
        <is>
          <t>CONNECTOR</t>
        </is>
      </c>
      <c r="E17" s="11">
        <f>COUNTIF(Pins!$A$2:$A$1000,A17)</f>
        <v/>
      </c>
      <c r="F17" s="12" t="n"/>
      <c r="G17" s="12" t="n"/>
      <c r="H17" s="9" t="n"/>
      <c r="I17" s="9" t="n"/>
      <c r="J17" s="9" t="n"/>
      <c r="K17" s="9" t="n"/>
      <c r="L17" s="9" t="inlineStr">
        <is>
          <t>T26_15Jan-2026114IMD.002</t>
        </is>
      </c>
      <c r="M17" s="10" t="n">
        <v>-0.063</v>
      </c>
      <c r="N17" s="10" t="n">
        <v>0.233</v>
      </c>
      <c r="O17" s="10" t="n">
        <v>1.778</v>
      </c>
      <c r="P17" s="11">
        <f>IF(COUNTIF(Segments!$B$2:$C$1000,A17)&gt;0,"Y","N")</f>
        <v/>
      </c>
      <c r="Q17" s="11">
        <f>COUNTIF(Wires!$D$2:$D$1000,A17)+COUNTIF(Wires!$F$2:$F$1000,A17)</f>
        <v/>
      </c>
      <c r="R17" s="11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9" t="inlineStr">
        <is>
          <t>No Excel original: 'XLA +' pino 1 e 'XLA -' pino 2.</t>
        </is>
      </c>
      <c r="T17" s="12" t="n"/>
    </row>
    <row r="18">
      <c r="A18" s="9" t="inlineStr">
        <is>
          <t>IMD XK1A</t>
        </is>
      </c>
      <c r="B18" s="9" t="inlineStr">
        <is>
          <t>IMD</t>
        </is>
      </c>
      <c r="C18" s="9" t="inlineStr">
        <is>
          <t>ACCU</t>
        </is>
      </c>
      <c r="D18" s="9" t="inlineStr">
        <is>
          <t>CONNECTOR</t>
        </is>
      </c>
      <c r="E18" s="11">
        <f>COUNTIF(Pins!$A$2:$A$1000,A18)</f>
        <v/>
      </c>
      <c r="F18" s="12" t="n"/>
      <c r="G18" s="12" t="n"/>
      <c r="H18" s="9" t="n"/>
      <c r="I18" s="9" t="n"/>
      <c r="J18" s="9" t="n"/>
      <c r="K18" s="9" t="n"/>
      <c r="L18" s="9" t="inlineStr">
        <is>
          <t>T26_15Jan-2026114IMD.002</t>
        </is>
      </c>
      <c r="M18" s="10" t="n">
        <v>-0.063</v>
      </c>
      <c r="N18" s="10" t="n">
        <v>0.233</v>
      </c>
      <c r="O18" s="10" t="n">
        <v>1.778</v>
      </c>
      <c r="P18" s="11">
        <f>IF(COUNTIF(Segments!$B$2:$C$1000,A18)&gt;0,"Y","N")</f>
        <v/>
      </c>
      <c r="Q18" s="11">
        <f>COUNTIF(Wires!$D$2:$D$1000,A18)+COUNTIF(Wires!$F$2:$F$1000,A18)</f>
        <v/>
      </c>
      <c r="R18" s="11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9" t="n"/>
      <c r="T18" s="12" t="n"/>
    </row>
    <row r="19">
      <c r="A19" s="9" t="inlineStr">
        <is>
          <t>TSAL J1</t>
        </is>
      </c>
      <c r="B19" s="9" t="inlineStr">
        <is>
          <t>TSAL</t>
        </is>
      </c>
      <c r="C19" s="9" t="inlineStr">
        <is>
          <t>ACCU</t>
        </is>
      </c>
      <c r="D19" s="9" t="inlineStr">
        <is>
          <t>CONNECTOR</t>
        </is>
      </c>
      <c r="E19" s="11">
        <f>COUNTIF(Pins!$A$2:$A$1000,A19)</f>
        <v/>
      </c>
      <c r="F19" s="12" t="n"/>
      <c r="G19" s="12" t="n"/>
      <c r="H19" s="9" t="n"/>
      <c r="I19" s="9" t="n"/>
      <c r="J19" s="9" t="n"/>
      <c r="K19" s="9" t="n"/>
      <c r="L19" s="9" t="inlineStr">
        <is>
          <t>T26_15Jan-2026114TSAL_V2.2_Green_PCB_Cheap.002</t>
        </is>
      </c>
      <c r="M19" s="10" t="n">
        <v>-0.059</v>
      </c>
      <c r="N19" s="10" t="n">
        <v>0.271</v>
      </c>
      <c r="O19" s="10" t="n">
        <v>1.778</v>
      </c>
      <c r="P19" s="11">
        <f>IF(COUNTIF(Segments!$B$2:$C$1000,A19)&gt;0,"Y","N")</f>
        <v/>
      </c>
      <c r="Q19" s="11">
        <f>COUNTIF(Wires!$D$2:$D$1000,A19)+COUNTIF(Wires!$F$2:$F$1000,A19)</f>
        <v/>
      </c>
      <c r="R19" s="11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9" t="n"/>
      <c r="T19" s="12" t="n"/>
    </row>
    <row r="20">
      <c r="A20" s="9" t="inlineStr">
        <is>
          <t>TSAL D2</t>
        </is>
      </c>
      <c r="B20" s="9" t="inlineStr">
        <is>
          <t>TSAL</t>
        </is>
      </c>
      <c r="C20" s="9" t="inlineStr">
        <is>
          <t>ACCU</t>
        </is>
      </c>
      <c r="D20" s="9" t="inlineStr">
        <is>
          <t>CONNECTOR</t>
        </is>
      </c>
      <c r="E20" s="11">
        <f>COUNTIF(Pins!$A$2:$A$1000,A20)</f>
        <v/>
      </c>
      <c r="F20" s="12" t="n"/>
      <c r="G20" s="10" t="inlineStr">
        <is>
          <t>1-794617-2</t>
        </is>
      </c>
      <c r="H20" s="9" t="n"/>
      <c r="I20" s="10" t="inlineStr">
        <is>
          <t>TE Micro MATE-N-LOK</t>
        </is>
      </c>
      <c r="J20" s="10" t="inlineStr">
        <is>
          <t>794611-1</t>
        </is>
      </c>
      <c r="K20" s="9" t="n"/>
      <c r="L20" s="9" t="inlineStr">
        <is>
          <t>T26_15Jan-2026114TSAL_V2.2_Green_PCB_Cheap.002</t>
        </is>
      </c>
      <c r="M20" s="10" t="n">
        <v>-0.059</v>
      </c>
      <c r="N20" s="10" t="n">
        <v>0.271</v>
      </c>
      <c r="O20" s="10" t="n">
        <v>1.778</v>
      </c>
      <c r="P20" s="11">
        <f>IF(COUNTIF(Segments!$B$2:$C$1000,A20)&gt;0,"Y","N")</f>
        <v/>
      </c>
      <c r="Q20" s="11">
        <f>COUNTIF(Wires!$D$2:$D$1000,A20)+COUNTIF(Wires!$F$2:$F$1000,A20)</f>
        <v/>
      </c>
      <c r="R20" s="11">
        <f>IF(A20="","",IF(D20="SPLICE","",IF(P20="N","fora da topologia; ","")&amp;IF(G20="","sem P/N; ","")&amp;IF(AND(G20&lt;&gt;"",COUNTIF(Parts!$A$2:$A$1000,G20)=0),"P/N não está em Parts; ","")&amp;IF(M20="","sem xyz; ","")))</f>
        <v/>
      </c>
      <c r="S20" s="9" t="inlineStr">
        <is>
          <t>Proposto a partir da lista da equipa (Notion · Connectors Harness): ficha de placa com 12 vias.</t>
        </is>
      </c>
      <c r="T20" s="10" t="inlineStr">
        <is>
          <t>F</t>
        </is>
      </c>
    </row>
    <row r="21">
      <c r="A21" s="9" t="inlineStr">
        <is>
          <t>LATCH J1</t>
        </is>
      </c>
      <c r="B21" s="9" t="inlineStr">
        <is>
          <t>LATCH</t>
        </is>
      </c>
      <c r="C21" s="9" t="inlineStr">
        <is>
          <t>ACCU</t>
        </is>
      </c>
      <c r="D21" s="9" t="inlineStr">
        <is>
          <t>CONNECTOR</t>
        </is>
      </c>
      <c r="E21" s="11">
        <f>COUNTIF(Pins!$A$2:$A$1000,A21)</f>
        <v/>
      </c>
      <c r="F21" s="12" t="n"/>
      <c r="G21" s="10" t="inlineStr">
        <is>
          <t>1-794617-0</t>
        </is>
      </c>
      <c r="H21" s="9" t="n"/>
      <c r="I21" s="10" t="inlineStr">
        <is>
          <t>TE Micro MATE-N-LOK</t>
        </is>
      </c>
      <c r="J21" s="10" t="inlineStr">
        <is>
          <t>794611-1</t>
        </is>
      </c>
      <c r="K21" s="9" t="n"/>
      <c r="L21" s="9" t="n"/>
      <c r="M21" s="12" t="n"/>
      <c r="N21" s="12" t="n"/>
      <c r="O21" s="12" t="n"/>
      <c r="P21" s="11">
        <f>IF(COUNTIF(Segments!$B$2:$C$1000,A21)&gt;0,"Y","N")</f>
        <v/>
      </c>
      <c r="Q21" s="11">
        <f>COUNTIF(Wires!$D$2:$D$1000,A21)+COUNTIF(Wires!$F$2:$F$1000,A21)</f>
        <v/>
      </c>
      <c r="R21" s="11">
        <f>IF(A21="","",IF(D21="SPLICE","",IF(P21="N","fora da topologia; ","")&amp;IF(G21="","sem P/N; ","")&amp;IF(AND(G21&lt;&gt;"",COUNTIF(Parts!$A$2:$A$1000,G21)=0),"P/N não está em Parts; ","")&amp;IF(M21="","sem xyz; ","")))</f>
        <v/>
      </c>
      <c r="S21" s="9" t="inlineStr">
        <is>
          <t>Proposto a partir da lista da equipa (Notion · Connectors Harness): ficha de placa com 10 vias.</t>
        </is>
      </c>
      <c r="T21" s="10" t="inlineStr">
        <is>
          <t>F</t>
        </is>
      </c>
    </row>
    <row r="22">
      <c r="A22" s="9" t="inlineStr">
        <is>
          <t>AMS J10</t>
        </is>
      </c>
      <c r="B22" s="9" t="inlineStr">
        <is>
          <t>AMS</t>
        </is>
      </c>
      <c r="C22" s="9" t="inlineStr">
        <is>
          <t>ACCU</t>
        </is>
      </c>
      <c r="D22" s="9" t="inlineStr">
        <is>
          <t>CONNECTOR</t>
        </is>
      </c>
      <c r="E22" s="11">
        <f>COUNTIF(Pins!$A$2:$A$1000,A22)</f>
        <v/>
      </c>
      <c r="F22" s="12" t="n"/>
      <c r="G22" s="10" t="inlineStr">
        <is>
          <t>43025-1600</t>
        </is>
      </c>
      <c r="H22" s="9" t="inlineStr">
        <is>
          <t>43045-1628</t>
        </is>
      </c>
      <c r="I22" s="9" t="inlineStr">
        <is>
          <t>Molex</t>
        </is>
      </c>
      <c r="J22" s="10" t="inlineStr">
        <is>
          <t>43030-0001</t>
        </is>
      </c>
      <c r="K22" s="9" t="n"/>
      <c r="L22" s="9" t="n"/>
      <c r="M22" s="12" t="n"/>
      <c r="N22" s="12" t="n"/>
      <c r="O22" s="12" t="n"/>
      <c r="P22" s="11">
        <f>IF(COUNTIF(Segments!$B$2:$C$1000,A22)&gt;0,"Y","N")</f>
        <v/>
      </c>
      <c r="Q22" s="11">
        <f>COUNTIF(Wires!$D$2:$D$1000,A22)+COUNTIF(Wires!$F$2:$F$1000,A22)</f>
        <v/>
      </c>
      <c r="R22" s="11">
        <f>IF(A22="","",IF(D22="SPLICE","",IF(P22="N","fora da topologia; ","")&amp;IF(G22="","sem P/N; ","")&amp;IF(AND(G22&lt;&gt;"",COUNTIF(Parts!$A$2:$A$1000,G22)=0),"P/N não está em Parts; ","")&amp;IF(M22="","sem xyz; ","")))</f>
        <v/>
      </c>
      <c r="S22" s="9" t="inlineStr">
        <is>
          <t>Header da placa 43045-1628 (folha BMS). Ficha e crimp do lado do cabo propostos.</t>
        </is>
      </c>
      <c r="T22" s="10" t="inlineStr">
        <is>
          <t>F</t>
        </is>
      </c>
    </row>
    <row r="23">
      <c r="A23" s="9" t="inlineStr">
        <is>
          <t>AMS J11</t>
        </is>
      </c>
      <c r="B23" s="9" t="inlineStr">
        <is>
          <t>AMS</t>
        </is>
      </c>
      <c r="C23" s="9" t="inlineStr">
        <is>
          <t>ACCU</t>
        </is>
      </c>
      <c r="D23" s="9" t="inlineStr">
        <is>
          <t>CONNECTOR</t>
        </is>
      </c>
      <c r="E23" s="11">
        <f>COUNTIF(Pins!$A$2:$A$1000,A23)</f>
        <v/>
      </c>
      <c r="F23" s="12" t="n"/>
      <c r="G23" s="10" t="inlineStr">
        <is>
          <t>43025-1600</t>
        </is>
      </c>
      <c r="H23" s="9" t="inlineStr">
        <is>
          <t>43045-1628</t>
        </is>
      </c>
      <c r="I23" s="9" t="inlineStr">
        <is>
          <t>Molex</t>
        </is>
      </c>
      <c r="J23" s="10" t="inlineStr">
        <is>
          <t>43030-0001</t>
        </is>
      </c>
      <c r="K23" s="9" t="n"/>
      <c r="L23" s="9" t="n"/>
      <c r="M23" s="12" t="n"/>
      <c r="N23" s="12" t="n"/>
      <c r="O23" s="12" t="n"/>
      <c r="P23" s="11">
        <f>IF(COUNTIF(Segments!$B$2:$C$1000,A23)&gt;0,"Y","N")</f>
        <v/>
      </c>
      <c r="Q23" s="11">
        <f>COUNTIF(Wires!$D$2:$D$1000,A23)+COUNTIF(Wires!$F$2:$F$1000,A23)</f>
        <v/>
      </c>
      <c r="R23" s="11">
        <f>IF(A23="","",IF(D23="SPLICE","",IF(P23="N","fora da topologia; ","")&amp;IF(G23="","sem P/N; ","")&amp;IF(AND(G23&lt;&gt;"",COUNTIF(Parts!$A$2:$A$1000,G23)=0),"P/N não está em Parts; ","")&amp;IF(M23="","sem xyz; ","")))</f>
        <v/>
      </c>
      <c r="S23" s="9" t="inlineStr">
        <is>
          <t>Header da placa 43045-1628 (folha BMS). Ficha e crimp do lado do cabo propostos.</t>
        </is>
      </c>
      <c r="T23" s="10" t="inlineStr">
        <is>
          <t>F</t>
        </is>
      </c>
    </row>
    <row r="24">
      <c r="A24" s="9" t="inlineStr">
        <is>
          <t>AMS J12</t>
        </is>
      </c>
      <c r="B24" s="9" t="inlineStr">
        <is>
          <t>AMS</t>
        </is>
      </c>
      <c r="C24" s="9" t="inlineStr">
        <is>
          <t>ACCU</t>
        </is>
      </c>
      <c r="D24" s="9" t="inlineStr">
        <is>
          <t>CONNECTOR</t>
        </is>
      </c>
      <c r="E24" s="11">
        <f>COUNTIF(Pins!$A$2:$A$1000,A24)</f>
        <v/>
      </c>
      <c r="F24" s="12" t="n"/>
      <c r="G24" s="10" t="inlineStr">
        <is>
          <t>43025-1600</t>
        </is>
      </c>
      <c r="H24" s="9" t="inlineStr">
        <is>
          <t>43045-1628</t>
        </is>
      </c>
      <c r="I24" s="9" t="inlineStr">
        <is>
          <t>Molex</t>
        </is>
      </c>
      <c r="J24" s="10" t="inlineStr">
        <is>
          <t>43030-0001</t>
        </is>
      </c>
      <c r="K24" s="9" t="n"/>
      <c r="L24" s="9" t="n"/>
      <c r="M24" s="12" t="n"/>
      <c r="N24" s="12" t="n"/>
      <c r="O24" s="12" t="n"/>
      <c r="P24" s="11">
        <f>IF(COUNTIF(Segments!$B$2:$C$1000,A24)&gt;0,"Y","N")</f>
        <v/>
      </c>
      <c r="Q24" s="11">
        <f>COUNTIF(Wires!$D$2:$D$1000,A24)+COUNTIF(Wires!$F$2:$F$1000,A24)</f>
        <v/>
      </c>
      <c r="R24" s="11">
        <f>IF(A24="","",IF(D24="SPLICE","",IF(P24="N","fora da topologia; ","")&amp;IF(G24="","sem P/N; ","")&amp;IF(AND(G24&lt;&gt;"",COUNTIF(Parts!$A$2:$A$1000,G24)=0),"P/N não está em Parts; ","")&amp;IF(M24="","sem xyz; ","")))</f>
        <v/>
      </c>
      <c r="S24" s="9" t="inlineStr">
        <is>
          <t>Header da placa 43045-1628 (folha BMS). Ficha e crimp do lado do cabo propostos.</t>
        </is>
      </c>
      <c r="T24" s="10" t="inlineStr">
        <is>
          <t>F</t>
        </is>
      </c>
    </row>
    <row r="25">
      <c r="A25" s="9" t="inlineStr">
        <is>
          <t>AMS J13</t>
        </is>
      </c>
      <c r="B25" s="9" t="inlineStr">
        <is>
          <t>AMS</t>
        </is>
      </c>
      <c r="C25" s="9" t="inlineStr">
        <is>
          <t>ACCU</t>
        </is>
      </c>
      <c r="D25" s="9" t="inlineStr">
        <is>
          <t>CONNECTOR</t>
        </is>
      </c>
      <c r="E25" s="11">
        <f>COUNTIF(Pins!$A$2:$A$1000,A25)</f>
        <v/>
      </c>
      <c r="F25" s="12" t="n"/>
      <c r="G25" s="10" t="inlineStr">
        <is>
          <t>43025-0200</t>
        </is>
      </c>
      <c r="H25" s="9" t="inlineStr">
        <is>
          <t>43045-0228</t>
        </is>
      </c>
      <c r="I25" s="9" t="inlineStr">
        <is>
          <t>Molex</t>
        </is>
      </c>
      <c r="J25" s="10" t="inlineStr">
        <is>
          <t>43030-0001</t>
        </is>
      </c>
      <c r="K25" s="9" t="n"/>
      <c r="L25" s="9" t="n"/>
      <c r="M25" s="12" t="n"/>
      <c r="N25" s="12" t="n"/>
      <c r="O25" s="12" t="n"/>
      <c r="P25" s="11">
        <f>IF(COUNTIF(Segments!$B$2:$C$1000,A25)&gt;0,"Y","N")</f>
        <v/>
      </c>
      <c r="Q25" s="11">
        <f>COUNTIF(Wires!$D$2:$D$1000,A25)+COUNTIF(Wires!$F$2:$F$1000,A25)</f>
        <v/>
      </c>
      <c r="R25" s="11">
        <f>IF(A25="","",IF(D25="SPLICE","",IF(P25="N","fora da topologia; ","")&amp;IF(G25="","sem P/N; ","")&amp;IF(AND(G25&lt;&gt;"",COUNTIF(Parts!$A$2:$A$1000,G25)=0),"P/N não está em Parts; ","")&amp;IF(M25="","sem xyz; ","")))</f>
        <v/>
      </c>
      <c r="S25" s="9" t="inlineStr">
        <is>
          <t>Header da placa 43045-0228 (folha BMS). Ficha e crimp do lado do cabo propostos.</t>
        </is>
      </c>
      <c r="T25" s="10" t="inlineStr">
        <is>
          <t>F</t>
        </is>
      </c>
    </row>
    <row r="26">
      <c r="A26" s="9" t="inlineStr">
        <is>
          <t>AMS J14</t>
        </is>
      </c>
      <c r="B26" s="9" t="inlineStr">
        <is>
          <t>AMS</t>
        </is>
      </c>
      <c r="C26" s="9" t="inlineStr">
        <is>
          <t>ACCU</t>
        </is>
      </c>
      <c r="D26" s="9" t="inlineStr">
        <is>
          <t>CONNECTOR</t>
        </is>
      </c>
      <c r="E26" s="11">
        <f>COUNTIF(Pins!$A$2:$A$1000,A26)</f>
        <v/>
      </c>
      <c r="F26" s="12" t="n"/>
      <c r="G26" s="10" t="inlineStr">
        <is>
          <t>43025-0200</t>
        </is>
      </c>
      <c r="H26" s="9" t="inlineStr">
        <is>
          <t>43045-0228</t>
        </is>
      </c>
      <c r="I26" s="9" t="inlineStr">
        <is>
          <t>Molex</t>
        </is>
      </c>
      <c r="J26" s="10" t="inlineStr">
        <is>
          <t>43030-0001</t>
        </is>
      </c>
      <c r="K26" s="9" t="n"/>
      <c r="L26" s="9" t="n"/>
      <c r="M26" s="12" t="n"/>
      <c r="N26" s="12" t="n"/>
      <c r="O26" s="12" t="n"/>
      <c r="P26" s="11">
        <f>IF(COUNTIF(Segments!$B$2:$C$1000,A26)&gt;0,"Y","N")</f>
        <v/>
      </c>
      <c r="Q26" s="11">
        <f>COUNTIF(Wires!$D$2:$D$1000,A26)+COUNTIF(Wires!$F$2:$F$1000,A26)</f>
        <v/>
      </c>
      <c r="R26" s="11">
        <f>IF(A26="","",IF(D26="SPLICE","",IF(P26="N","fora da topologia; ","")&amp;IF(G26="","sem P/N; ","")&amp;IF(AND(G26&lt;&gt;"",COUNTIF(Parts!$A$2:$A$1000,G26)=0),"P/N não está em Parts; ","")&amp;IF(M26="","sem xyz; ","")))</f>
        <v/>
      </c>
      <c r="S26" s="9" t="inlineStr">
        <is>
          <t>Header da placa 43045-0228 (folha BMS). Ficha e crimp do lado do cabo propostos.</t>
        </is>
      </c>
      <c r="T26" s="10" t="inlineStr">
        <is>
          <t>F</t>
        </is>
      </c>
    </row>
    <row r="27">
      <c r="A27" s="9" t="inlineStr">
        <is>
          <t>AMS J15</t>
        </is>
      </c>
      <c r="B27" s="9" t="inlineStr">
        <is>
          <t>AMS</t>
        </is>
      </c>
      <c r="C27" s="9" t="inlineStr">
        <is>
          <t>ACCU</t>
        </is>
      </c>
      <c r="D27" s="9" t="inlineStr">
        <is>
          <t>CONNECTOR</t>
        </is>
      </c>
      <c r="E27" s="11">
        <f>COUNTIF(Pins!$A$2:$A$1000,A27)</f>
        <v/>
      </c>
      <c r="F27" s="12" t="n"/>
      <c r="G27" s="10" t="inlineStr">
        <is>
          <t>43025-0200</t>
        </is>
      </c>
      <c r="H27" s="9" t="inlineStr">
        <is>
          <t>43045-0228</t>
        </is>
      </c>
      <c r="I27" s="9" t="inlineStr">
        <is>
          <t>Molex</t>
        </is>
      </c>
      <c r="J27" s="10" t="inlineStr">
        <is>
          <t>43030-0001</t>
        </is>
      </c>
      <c r="K27" s="9" t="n"/>
      <c r="L27" s="9" t="n"/>
      <c r="M27" s="12" t="n"/>
      <c r="N27" s="12" t="n"/>
      <c r="O27" s="12" t="n"/>
      <c r="P27" s="11">
        <f>IF(COUNTIF(Segments!$B$2:$C$1000,A27)&gt;0,"Y","N")</f>
        <v/>
      </c>
      <c r="Q27" s="11">
        <f>COUNTIF(Wires!$D$2:$D$1000,A27)+COUNTIF(Wires!$F$2:$F$1000,A27)</f>
        <v/>
      </c>
      <c r="R27" s="11">
        <f>IF(A27="","",IF(D27="SPLICE","",IF(P27="N","fora da topologia; ","")&amp;IF(G27="","sem P/N; ","")&amp;IF(AND(G27&lt;&gt;"",COUNTIF(Parts!$A$2:$A$1000,G27)=0),"P/N não está em Parts; ","")&amp;IF(M27="","sem xyz; ","")))</f>
        <v/>
      </c>
      <c r="S27" s="9" t="inlineStr">
        <is>
          <t>Header da placa 43045-0228 (folha BMS). Ficha e crimp do lado do cabo propostos.</t>
        </is>
      </c>
      <c r="T27" s="10" t="inlineStr">
        <is>
          <t>F</t>
        </is>
      </c>
    </row>
    <row r="28">
      <c r="A28" s="9" t="inlineStr">
        <is>
          <t>AMS JUSB</t>
        </is>
      </c>
      <c r="B28" s="9" t="inlineStr">
        <is>
          <t>AMS</t>
        </is>
      </c>
      <c r="C28" s="9" t="inlineStr">
        <is>
          <t>ACCU</t>
        </is>
      </c>
      <c r="D28" s="9" t="inlineStr">
        <is>
          <t>CONNECTOR</t>
        </is>
      </c>
      <c r="E28" s="11">
        <f>COUNTIF(Pins!$A$2:$A$1000,A28)</f>
        <v/>
      </c>
      <c r="F28" s="12" t="n"/>
      <c r="G28" s="12" t="n"/>
      <c r="H28" s="9" t="n"/>
      <c r="I28" s="9" t="n"/>
      <c r="J28" s="9" t="n"/>
      <c r="K28" s="9" t="n"/>
      <c r="L28" s="9" t="n"/>
      <c r="M28" s="12" t="n"/>
      <c r="N28" s="12" t="n"/>
      <c r="O28" s="12" t="n"/>
      <c r="P28" s="11">
        <f>IF(COUNTIF(Segments!$B$2:$C$1000,A28)&gt;0,"Y","N")</f>
        <v/>
      </c>
      <c r="Q28" s="11">
        <f>COUNTIF(Wires!$D$2:$D$1000,A28)+COUNTIF(Wires!$F$2:$F$1000,A28)</f>
        <v/>
      </c>
      <c r="R28" s="11">
        <f>IF(A28="","",IF(D28="SPLICE","",IF(P28="N","fora da topologia; ","")&amp;IF(G28="","sem P/N; ","")&amp;IF(AND(G28&lt;&gt;"",COUNTIF(Parts!$A$2:$A$1000,G28)=0),"P/N não está em Parts; ","")&amp;IF(M28="","sem xyz; ","")))</f>
        <v/>
      </c>
      <c r="S28" s="9" t="n"/>
      <c r="T28" s="12" t="n"/>
    </row>
    <row r="29">
      <c r="A29" s="9" t="inlineStr">
        <is>
          <t>SPL AUX_VCC</t>
        </is>
      </c>
      <c r="B29" s="9" t="inlineStr">
        <is>
          <t>SPL</t>
        </is>
      </c>
      <c r="C29" s="9" t="inlineStr">
        <is>
          <t>ACCU</t>
        </is>
      </c>
      <c r="D29" s="9" t="inlineStr">
        <is>
          <t>SPLICE</t>
        </is>
      </c>
      <c r="E29" s="11">
        <f>COUNTIF(Pins!$A$2:$A$1000,A29)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1">
        <f>IF(COUNTIF(Segments!$B$2:$C$1000,A29)&gt;0,"Y","N")</f>
        <v/>
      </c>
      <c r="Q29" s="11">
        <f>COUNTIF(Wires!$D$2:$D$1000,A29)+COUNTIF(Wires!$F$2:$F$1000,A29)</f>
        <v/>
      </c>
      <c r="R29" s="11">
        <f>IF(A29="","",IF(D29="SPLICE","",IF(P29="N","fora da topologia; ","")&amp;IF(G29="","sem P/N; ","")&amp;IF(AND(G29&lt;&gt;"",COUNTIF(Parts!$A$2:$A$1000,G29)=0),"P/N não está em Parts; ","")&amp;IF(M29="","sem xyz; ","")))</f>
        <v/>
      </c>
      <c r="S29" s="9" t="n"/>
      <c r="T29" s="9" t="n"/>
    </row>
    <row r="30">
      <c r="A30" s="9" t="inlineStr">
        <is>
          <t>SPL AUX_GND</t>
        </is>
      </c>
      <c r="B30" s="9" t="inlineStr">
        <is>
          <t>SPL</t>
        </is>
      </c>
      <c r="C30" s="9" t="inlineStr">
        <is>
          <t>ACCU</t>
        </is>
      </c>
      <c r="D30" s="9" t="inlineStr">
        <is>
          <t>SPLICE</t>
        </is>
      </c>
      <c r="E30" s="11">
        <f>COUNTIF(Pins!$A$2:$A$1000,A30)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1">
        <f>IF(COUNTIF(Segments!$B$2:$C$1000,A30)&gt;0,"Y","N")</f>
        <v/>
      </c>
      <c r="Q30" s="11">
        <f>COUNTIF(Wires!$D$2:$D$1000,A30)+COUNTIF(Wires!$F$2:$F$1000,A30)</f>
        <v/>
      </c>
      <c r="R30" s="11">
        <f>IF(A30="","",IF(D30="SPLICE","",IF(P30="N","fora da topologia; ","")&amp;IF(G30="","sem P/N; ","")&amp;IF(AND(G30&lt;&gt;"",COUNTIF(Parts!$A$2:$A$1000,G30)=0),"P/N não está em Parts; ","")&amp;IF(M30="","sem xyz; ","")))</f>
        <v/>
      </c>
      <c r="S30" s="9" t="n"/>
      <c r="T30" s="9" t="n"/>
    </row>
    <row r="31">
      <c r="A31" s="9" t="inlineStr">
        <is>
          <t>FUSE 1</t>
        </is>
      </c>
      <c r="B31" s="9" t="inlineStr">
        <is>
          <t>FUSE</t>
        </is>
      </c>
      <c r="C31" s="9" t="inlineStr">
        <is>
          <t>ACCU</t>
        </is>
      </c>
      <c r="D31" s="9" t="inlineStr">
        <is>
          <t>STUD</t>
        </is>
      </c>
      <c r="E31" s="11">
        <f>COUNTIF(Pins!$A$2:$A$1000,A31)</f>
        <v/>
      </c>
      <c r="F31" s="12" t="n"/>
      <c r="G31" s="12" t="n"/>
      <c r="H31" s="9" t="n"/>
      <c r="I31" s="9" t="n"/>
      <c r="J31" s="9" t="n"/>
      <c r="K31" s="9" t="n"/>
      <c r="L31" s="9" t="n"/>
      <c r="M31" s="12" t="n"/>
      <c r="N31" s="12" t="n"/>
      <c r="O31" s="12" t="n"/>
      <c r="P31" s="11">
        <f>IF(COUNTIF(Segments!$B$2:$C$1000,A31)&gt;0,"Y","N")</f>
        <v/>
      </c>
      <c r="Q31" s="11">
        <f>COUNTIF(Wires!$D$2:$D$1000,A31)+COUNTIF(Wires!$F$2:$F$1000,A31)</f>
        <v/>
      </c>
      <c r="R31" s="11">
        <f>IF(A31="","",IF(D31="SPLICE","",IF(P31="N","fora da topologia; ","")&amp;IF(G31="","sem P/N; ","")&amp;IF(AND(G31&lt;&gt;"",COUNTIF(Parts!$A$2:$A$1000,G31)=0),"P/N não está em Parts; ","")&amp;IF(M31="","sem xyz; ","")))</f>
        <v/>
      </c>
      <c r="S31" s="9" t="inlineStr">
        <is>
          <t>Sem folha própria — criado a partir dos destinos.</t>
        </is>
      </c>
      <c r="T31" s="9" t="n"/>
    </row>
    <row r="32">
      <c r="A32" s="9" t="inlineStr">
        <is>
          <t>FUSE 2</t>
        </is>
      </c>
      <c r="B32" s="9" t="inlineStr">
        <is>
          <t>FUSE</t>
        </is>
      </c>
      <c r="C32" s="9" t="inlineStr">
        <is>
          <t>ACCU</t>
        </is>
      </c>
      <c r="D32" s="9" t="inlineStr">
        <is>
          <t>STUD</t>
        </is>
      </c>
      <c r="E32" s="11">
        <f>COUNTIF(Pins!$A$2:$A$1000,A32)</f>
        <v/>
      </c>
      <c r="F32" s="12" t="n"/>
      <c r="G32" s="12" t="n"/>
      <c r="H32" s="9" t="n"/>
      <c r="I32" s="9" t="n"/>
      <c r="J32" s="9" t="n"/>
      <c r="K32" s="9" t="n"/>
      <c r="L32" s="9" t="n"/>
      <c r="M32" s="12" t="n"/>
      <c r="N32" s="12" t="n"/>
      <c r="O32" s="12" t="n"/>
      <c r="P32" s="11">
        <f>IF(COUNTIF(Segments!$B$2:$C$1000,A32)&gt;0,"Y","N")</f>
        <v/>
      </c>
      <c r="Q32" s="11">
        <f>COUNTIF(Wires!$D$2:$D$1000,A32)+COUNTIF(Wires!$F$2:$F$1000,A32)</f>
        <v/>
      </c>
      <c r="R32" s="11">
        <f>IF(A32="","",IF(D32="SPLICE","",IF(P32="N","fora da topologia; ","")&amp;IF(G32="","sem P/N; ","")&amp;IF(AND(G32&lt;&gt;"",COUNTIF(Parts!$A$2:$A$1000,G32)=0),"P/N não está em Parts; ","")&amp;IF(M32="","sem xyz; ","")))</f>
        <v/>
      </c>
      <c r="S32" s="9" t="inlineStr">
        <is>
          <t>Sem folha própria — criado a partir dos destinos.</t>
        </is>
      </c>
      <c r="T32" s="9" t="n"/>
    </row>
    <row r="33">
      <c r="A33" s="9" t="inlineStr">
        <is>
          <t>VI LED</t>
        </is>
      </c>
      <c r="B33" s="9" t="inlineStr">
        <is>
          <t>VI</t>
        </is>
      </c>
      <c r="C33" s="9" t="inlineStr">
        <is>
          <t>ACCU</t>
        </is>
      </c>
      <c r="D33" s="9" t="inlineStr">
        <is>
          <t>CONNECTOR</t>
        </is>
      </c>
      <c r="E33" s="11">
        <f>COUNTIF(Pins!$A$2:$A$1000,A33)</f>
        <v/>
      </c>
      <c r="F33" s="12" t="n"/>
      <c r="G33" s="12" t="n"/>
      <c r="H33" s="9" t="n"/>
      <c r="I33" s="9" t="n"/>
      <c r="J33" s="9" t="n"/>
      <c r="K33" s="9" t="n"/>
      <c r="L33" s="9" t="n"/>
      <c r="M33" s="12" t="n"/>
      <c r="N33" s="12" t="n"/>
      <c r="O33" s="12" t="n"/>
      <c r="P33" s="11">
        <f>IF(COUNTIF(Segments!$B$2:$C$1000,A33)&gt;0,"Y","N")</f>
        <v/>
      </c>
      <c r="Q33" s="11">
        <f>COUNTIF(Wires!$D$2:$D$1000,A33)+COUNTIF(Wires!$F$2:$F$1000,A33)</f>
        <v/>
      </c>
      <c r="R33" s="11">
        <f>IF(A33="","",IF(D33="SPLICE","",IF(P33="N","fora da topologia; ","")&amp;IF(G33="","sem P/N; ","")&amp;IF(AND(G33&lt;&gt;"",COUNTIF(Parts!$A$2:$A$1000,G33)=0),"P/N não está em Parts; ","")&amp;IF(M33="","sem xyz; ","")))</f>
        <v/>
      </c>
      <c r="S33" s="9" t="inlineStr">
        <is>
          <t>Sem folha própria — criado a partir dos destinos.</t>
        </is>
      </c>
      <c r="T33" s="12" t="n"/>
    </row>
    <row r="34">
      <c r="A34" s="9" t="inlineStr">
        <is>
          <t>ACCU CHASSIS</t>
        </is>
      </c>
      <c r="B34" s="9" t="inlineStr">
        <is>
          <t>ACCU</t>
        </is>
      </c>
      <c r="C34" s="9" t="inlineStr">
        <is>
          <t>ACCU</t>
        </is>
      </c>
      <c r="D34" s="9" t="inlineStr">
        <is>
          <t>STUD</t>
        </is>
      </c>
      <c r="E34" s="11">
        <f>COUNTIF(Pins!$A$2:$A$1000,A34)</f>
        <v/>
      </c>
      <c r="F34" s="12" t="n"/>
      <c r="G34" s="12" t="n"/>
      <c r="H34" s="9" t="n"/>
      <c r="I34" s="9" t="n"/>
      <c r="J34" s="9" t="n"/>
      <c r="K34" s="9" t="n"/>
      <c r="L34" s="9" t="n"/>
      <c r="M34" s="12" t="n"/>
      <c r="N34" s="12" t="n"/>
      <c r="O34" s="12" t="n"/>
      <c r="P34" s="11">
        <f>IF(COUNTIF(Segments!$B$2:$C$1000,A34)&gt;0,"Y","N")</f>
        <v/>
      </c>
      <c r="Q34" s="11">
        <f>COUNTIF(Wires!$D$2:$D$1000,A34)+COUNTIF(Wires!$F$2:$F$1000,A34)</f>
        <v/>
      </c>
      <c r="R34" s="11">
        <f>IF(A34="","",IF(D34="SPLICE","",IF(P34="N","fora da topologia; ","")&amp;IF(G34="","sem P/N; ","")&amp;IF(AND(G34&lt;&gt;"",COUNTIF(Parts!$A$2:$A$1000,G34)=0),"P/N não está em Parts; ","")&amp;IF(M34="","sem xyz; ","")))</f>
        <v/>
      </c>
      <c r="S34" s="9" t="inlineStr">
        <is>
          <t>Sem folha própria — criado a partir dos destinos.</t>
        </is>
      </c>
      <c r="T34" s="9" t="n"/>
    </row>
  </sheetData>
  <autoFilter ref="A1:T34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ACCU J1</t>
        </is>
      </c>
      <c r="B2" s="9" t="inlineStr">
        <is>
          <t>A</t>
        </is>
      </c>
      <c r="C2" s="9" t="inlineStr">
        <is>
          <t>RE_SDC</t>
        </is>
      </c>
      <c r="D2" s="9" t="inlineStr">
        <is>
          <t>IN</t>
        </is>
      </c>
      <c r="E2" s="9" t="inlineStr">
        <is>
          <t>24V</t>
        </is>
      </c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ACCU J1</t>
        </is>
      </c>
      <c r="B3" s="9" t="inlineStr">
        <is>
          <t>B</t>
        </is>
      </c>
      <c r="C3" s="9" t="inlineStr">
        <is>
          <t>ACC_SDC</t>
        </is>
      </c>
      <c r="D3" s="9" t="inlineStr">
        <is>
          <t>OUT</t>
        </is>
      </c>
      <c r="E3" s="9" t="inlineStr">
        <is>
          <t>24V</t>
        </is>
      </c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ACCU J1</t>
        </is>
      </c>
      <c r="B4" s="9" t="inlineStr">
        <is>
          <t>C</t>
        </is>
      </c>
      <c r="C4" s="9" t="inlineStr">
        <is>
          <t>TSMS_SDC</t>
        </is>
      </c>
      <c r="D4" s="9" t="inlineStr">
        <is>
          <t>IN</t>
        </is>
      </c>
      <c r="E4" s="9" t="inlineStr">
        <is>
          <t>24V</t>
        </is>
      </c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ACCU J1</t>
        </is>
      </c>
      <c r="B5" s="9" t="inlineStr">
        <is>
          <t>D</t>
        </is>
      </c>
      <c r="C5" s="10" t="inlineStr">
        <is>
          <t>Dis_SDC</t>
        </is>
      </c>
      <c r="D5" s="9" t="inlineStr">
        <is>
          <t>OUT</t>
        </is>
      </c>
      <c r="E5" s="9" t="inlineStr">
        <is>
          <t>24V</t>
        </is>
      </c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ACCU J1</t>
        </is>
      </c>
      <c r="B6" s="9" t="inlineStr">
        <is>
          <t>E</t>
        </is>
      </c>
      <c r="C6" s="10" t="inlineStr">
        <is>
          <t>Dis_Trigg</t>
        </is>
      </c>
      <c r="D6" s="9" t="inlineStr">
        <is>
          <t>IN</t>
        </is>
      </c>
      <c r="E6" s="9" t="inlineStr">
        <is>
          <t>24V</t>
        </is>
      </c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ACCU J1</t>
        </is>
      </c>
      <c r="B7" s="9" t="inlineStr">
        <is>
          <t>F</t>
        </is>
      </c>
      <c r="C7" s="9" t="n"/>
      <c r="D7" s="9" t="n"/>
      <c r="E7" s="9" t="n"/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ACCU J1</t>
        </is>
      </c>
      <c r="B8" s="9" t="inlineStr">
        <is>
          <t>G</t>
        </is>
      </c>
      <c r="C8" s="9" t="n"/>
      <c r="D8" s="9" t="n"/>
      <c r="E8" s="9" t="n"/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ACCU J1</t>
        </is>
      </c>
      <c r="B9" s="9" t="inlineStr">
        <is>
          <t>H</t>
        </is>
      </c>
      <c r="C9" s="9" t="inlineStr">
        <is>
          <t>PWT_Can_L</t>
        </is>
      </c>
      <c r="D9" s="9" t="inlineStr">
        <is>
          <t>BIDIR</t>
        </is>
      </c>
      <c r="E9" s="9" t="inlineStr">
        <is>
          <t>5V</t>
        </is>
      </c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ACCU J1</t>
        </is>
      </c>
      <c r="B10" s="9" t="inlineStr">
        <is>
          <t>J</t>
        </is>
      </c>
      <c r="C10" s="9" t="inlineStr">
        <is>
          <t>PWT_Can_H</t>
        </is>
      </c>
      <c r="D10" s="9" t="inlineStr">
        <is>
          <t>BIDIR</t>
        </is>
      </c>
      <c r="E10" s="9" t="inlineStr">
        <is>
          <t>5V</t>
        </is>
      </c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ACCU J1</t>
        </is>
      </c>
      <c r="B11" s="9" t="inlineStr">
        <is>
          <t>K</t>
        </is>
      </c>
      <c r="C11" s="9" t="inlineStr">
        <is>
          <t>CHG_Can_L</t>
        </is>
      </c>
      <c r="D11" s="9" t="inlineStr">
        <is>
          <t>BIDIR</t>
        </is>
      </c>
      <c r="E11" s="9" t="inlineStr">
        <is>
          <t>5V</t>
        </is>
      </c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ACCU J1</t>
        </is>
      </c>
      <c r="B12" s="9" t="inlineStr">
        <is>
          <t>L</t>
        </is>
      </c>
      <c r="C12" s="9" t="inlineStr">
        <is>
          <t>CHG_Can_H</t>
        </is>
      </c>
      <c r="D12" s="9" t="inlineStr">
        <is>
          <t>BIDIR</t>
        </is>
      </c>
      <c r="E12" s="9" t="inlineStr">
        <is>
          <t>5V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ACCU J1</t>
        </is>
      </c>
      <c r="B13" s="9" t="inlineStr">
        <is>
          <t>M</t>
        </is>
      </c>
      <c r="C13" s="9" t="n"/>
      <c r="D13" s="9" t="n"/>
      <c r="E13" s="9" t="n"/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ACCU J1</t>
        </is>
      </c>
      <c r="B14" s="9" t="inlineStr">
        <is>
          <t>N</t>
        </is>
      </c>
      <c r="C14" s="9" t="inlineStr">
        <is>
          <t>F Fan Out</t>
        </is>
      </c>
      <c r="D14" s="9" t="inlineStr">
        <is>
          <t>OUT</t>
        </is>
      </c>
      <c r="E14" s="9" t="inlineStr">
        <is>
          <t>24V</t>
        </is>
      </c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ACCU J1</t>
        </is>
      </c>
      <c r="B15" s="9" t="inlineStr">
        <is>
          <t>P</t>
        </is>
      </c>
      <c r="C15" s="9" t="inlineStr">
        <is>
          <t>R Fan Out</t>
        </is>
      </c>
      <c r="D15" s="9" t="inlineStr">
        <is>
          <t>OUT</t>
        </is>
      </c>
      <c r="E15" s="9" t="inlineStr">
        <is>
          <t>24V</t>
        </is>
      </c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ACCU J1</t>
        </is>
      </c>
      <c r="B16" s="9" t="inlineStr">
        <is>
          <t>R</t>
        </is>
      </c>
      <c r="C16" s="9" t="inlineStr">
        <is>
          <t>5V_USB</t>
        </is>
      </c>
      <c r="D16" s="9" t="inlineStr">
        <is>
          <t>OUT</t>
        </is>
      </c>
      <c r="E16" s="9" t="inlineStr">
        <is>
          <t>5V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ACCU J1</t>
        </is>
      </c>
      <c r="B17" s="9" t="inlineStr">
        <is>
          <t>S</t>
        </is>
      </c>
      <c r="C17" s="9" t="inlineStr">
        <is>
          <t>USB_N</t>
        </is>
      </c>
      <c r="D17" s="9" t="inlineStr">
        <is>
          <t>OUT</t>
        </is>
      </c>
      <c r="E17" s="9" t="inlineStr">
        <is>
          <t>5V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ACCU J1</t>
        </is>
      </c>
      <c r="B18" s="9" t="inlineStr">
        <is>
          <t>T</t>
        </is>
      </c>
      <c r="C18" s="9" t="inlineStr">
        <is>
          <t>USB_P</t>
        </is>
      </c>
      <c r="D18" s="9" t="inlineStr">
        <is>
          <t>OUT</t>
        </is>
      </c>
      <c r="E18" s="9" t="inlineStr">
        <is>
          <t>5V</t>
        </is>
      </c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ACCU J1</t>
        </is>
      </c>
      <c r="B19" s="9" t="inlineStr">
        <is>
          <t>U</t>
        </is>
      </c>
      <c r="C19" s="9" t="inlineStr">
        <is>
          <t>GND_USB</t>
        </is>
      </c>
      <c r="D19" s="9" t="inlineStr">
        <is>
          <t>OUT</t>
        </is>
      </c>
      <c r="E19" s="9" t="n"/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ACCU J1</t>
        </is>
      </c>
      <c r="B20" s="9" t="inlineStr">
        <is>
          <t>V</t>
        </is>
      </c>
      <c r="C20" s="9" t="inlineStr">
        <is>
          <t>Reset</t>
        </is>
      </c>
      <c r="D20" s="9" t="inlineStr">
        <is>
          <t>IN</t>
        </is>
      </c>
      <c r="E20" s="9" t="inlineStr">
        <is>
          <t>0V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ACCU J1</t>
        </is>
      </c>
      <c r="B21" s="9" t="inlineStr">
        <is>
          <t>W</t>
        </is>
      </c>
      <c r="C21" s="9" t="inlineStr">
        <is>
          <t>BMS Led</t>
        </is>
      </c>
      <c r="D21" s="9" t="inlineStr">
        <is>
          <t>OUT</t>
        </is>
      </c>
      <c r="E21" s="9" t="inlineStr">
        <is>
          <t>24V</t>
        </is>
      </c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ACCU J1</t>
        </is>
      </c>
      <c r="B22" s="9" t="inlineStr">
        <is>
          <t>X</t>
        </is>
      </c>
      <c r="C22" s="9" t="inlineStr">
        <is>
          <t>IMD Led</t>
        </is>
      </c>
      <c r="D22" s="9" t="inlineStr">
        <is>
          <t>OUT</t>
        </is>
      </c>
      <c r="E22" s="9" t="inlineStr">
        <is>
          <t>24V</t>
        </is>
      </c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ACCU J1</t>
        </is>
      </c>
      <c r="B23" s="9" t="inlineStr">
        <is>
          <t>Y</t>
        </is>
      </c>
      <c r="C23" s="9" t="n"/>
      <c r="D23" s="9" t="n"/>
      <c r="E23" s="9" t="n"/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ACCU J1</t>
        </is>
      </c>
      <c r="B24" s="9" t="inlineStr">
        <is>
          <t>Z</t>
        </is>
      </c>
      <c r="C24" s="9" t="n"/>
      <c r="D24" s="9" t="n"/>
      <c r="E24" s="9" t="n"/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ACCU J1</t>
        </is>
      </c>
      <c r="B25" s="9" t="inlineStr">
        <is>
          <t>a</t>
        </is>
      </c>
      <c r="C25" s="9" t="inlineStr">
        <is>
          <t>Green C</t>
        </is>
      </c>
      <c r="D25" s="9" t="inlineStr">
        <is>
          <t>OUT</t>
        </is>
      </c>
      <c r="E25" s="9" t="inlineStr">
        <is>
          <t>3.3V</t>
        </is>
      </c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ACCU J1</t>
        </is>
      </c>
      <c r="B26" s="9" t="inlineStr">
        <is>
          <t>b</t>
        </is>
      </c>
      <c r="C26" s="9" t="inlineStr">
        <is>
          <t>Green 1</t>
        </is>
      </c>
      <c r="D26" s="9" t="inlineStr">
        <is>
          <t>OUT</t>
        </is>
      </c>
      <c r="E26" s="9" t="inlineStr">
        <is>
          <t>3.3V</t>
        </is>
      </c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ACCU J1</t>
        </is>
      </c>
      <c r="B27" s="9" t="inlineStr">
        <is>
          <t>c</t>
        </is>
      </c>
      <c r="C27" s="9" t="n"/>
      <c r="D27" s="9" t="n"/>
      <c r="E27" s="9" t="n"/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ACCU J1</t>
        </is>
      </c>
      <c r="B28" s="9" t="inlineStr">
        <is>
          <t>d</t>
        </is>
      </c>
      <c r="C28" s="9" t="n"/>
      <c r="D28" s="9" t="n"/>
      <c r="E28" s="9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ACCU J1</t>
        </is>
      </c>
      <c r="B29" s="9" t="inlineStr">
        <is>
          <t>e</t>
        </is>
      </c>
      <c r="C29" s="9" t="inlineStr">
        <is>
          <t>Chassi GND</t>
        </is>
      </c>
      <c r="D29" s="9" t="inlineStr">
        <is>
          <t>IN</t>
        </is>
      </c>
      <c r="E29" s="9" t="inlineStr">
        <is>
          <t>0V</t>
        </is>
      </c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ACCU J1</t>
        </is>
      </c>
      <c r="B30" s="9" t="inlineStr">
        <is>
          <t>f</t>
        </is>
      </c>
      <c r="C30" s="9" t="inlineStr">
        <is>
          <t>AMS VCC</t>
        </is>
      </c>
      <c r="D30" s="9" t="inlineStr">
        <is>
          <t>VCC</t>
        </is>
      </c>
      <c r="E30" s="9" t="inlineStr">
        <is>
          <t>24V</t>
        </is>
      </c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ACCU J1</t>
        </is>
      </c>
      <c r="B31" s="9" t="inlineStr">
        <is>
          <t>g</t>
        </is>
      </c>
      <c r="C31" s="9" t="inlineStr">
        <is>
          <t>AUX VCC</t>
        </is>
      </c>
      <c r="D31" s="9" t="inlineStr">
        <is>
          <t>VCC</t>
        </is>
      </c>
      <c r="E31" s="9" t="inlineStr">
        <is>
          <t>24V</t>
        </is>
      </c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ACCU J1</t>
        </is>
      </c>
      <c r="B32" s="9" t="inlineStr">
        <is>
          <t>h</t>
        </is>
      </c>
      <c r="C32" s="9" t="inlineStr">
        <is>
          <t>AMS GND</t>
        </is>
      </c>
      <c r="D32" s="9" t="inlineStr">
        <is>
          <t>GND</t>
        </is>
      </c>
      <c r="E32" s="9" t="inlineStr">
        <is>
          <t>0V</t>
        </is>
      </c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ACCU J1</t>
        </is>
      </c>
      <c r="B33" s="9" t="inlineStr">
        <is>
          <t>j</t>
        </is>
      </c>
      <c r="C33" s="9" t="inlineStr">
        <is>
          <t>AUX GND</t>
        </is>
      </c>
      <c r="D33" s="9" t="inlineStr">
        <is>
          <t>GND</t>
        </is>
      </c>
      <c r="E33" s="9" t="inlineStr">
        <is>
          <t>0V</t>
        </is>
      </c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ACCU J2</t>
        </is>
      </c>
      <c r="B34" s="9" t="inlineStr">
        <is>
          <t>A1</t>
        </is>
      </c>
      <c r="C34" s="9" t="n"/>
      <c r="D34" s="9" t="n"/>
      <c r="E34" s="9" t="n"/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ACCU J2</t>
        </is>
      </c>
      <c r="B35" s="9" t="inlineStr">
        <is>
          <t>A2</t>
        </is>
      </c>
      <c r="C35" s="9" t="n"/>
      <c r="D35" s="9" t="n"/>
      <c r="E35" s="9" t="n"/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ACCU J2</t>
        </is>
      </c>
      <c r="B36" s="9" t="inlineStr">
        <is>
          <t>IL+</t>
        </is>
      </c>
      <c r="C36" s="10" t="inlineStr">
        <is>
          <t>Latch_SDC</t>
        </is>
      </c>
      <c r="D36" s="9" t="inlineStr">
        <is>
          <t>IN</t>
        </is>
      </c>
      <c r="E36" s="9" t="inlineStr">
        <is>
          <t>24V</t>
        </is>
      </c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ACCU J2</t>
        </is>
      </c>
      <c r="B37" s="9" t="inlineStr">
        <is>
          <t>IL-</t>
        </is>
      </c>
      <c r="C37" s="10" t="inlineStr">
        <is>
          <t>ACC_SDC</t>
        </is>
      </c>
      <c r="D37" s="9" t="inlineStr">
        <is>
          <t>OUT</t>
        </is>
      </c>
      <c r="E37" s="9" t="inlineStr">
        <is>
          <t>24V</t>
        </is>
      </c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9" t="inlineStr">
        <is>
          <t>AIR- HV</t>
        </is>
      </c>
      <c r="B38" s="9" t="inlineStr">
        <is>
          <t>A1</t>
        </is>
      </c>
      <c r="C38" s="9" t="n"/>
      <c r="D38" s="9" t="n"/>
      <c r="E38" s="9" t="n"/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9" t="inlineStr">
        <is>
          <t>AIR- HV</t>
        </is>
      </c>
      <c r="B39" s="9" t="inlineStr">
        <is>
          <t>A2</t>
        </is>
      </c>
      <c r="C39" s="9" t="n"/>
      <c r="D39" s="9" t="n"/>
      <c r="E39" s="9" t="n"/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9" t="inlineStr">
        <is>
          <t>AIR- J1</t>
        </is>
      </c>
      <c r="B40" s="9" t="inlineStr">
        <is>
          <t>1</t>
        </is>
      </c>
      <c r="C40" s="9" t="inlineStr">
        <is>
          <t>AIR-_SDC</t>
        </is>
      </c>
      <c r="D40" s="9" t="inlineStr">
        <is>
          <t>IN</t>
        </is>
      </c>
      <c r="E40" s="9" t="inlineStr">
        <is>
          <t>24V</t>
        </is>
      </c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9" t="inlineStr">
        <is>
          <t>AIR- J1</t>
        </is>
      </c>
      <c r="B41" s="9" t="inlineStr">
        <is>
          <t>2</t>
        </is>
      </c>
      <c r="C41" s="9" t="inlineStr">
        <is>
          <t>AIR-_Trigg</t>
        </is>
      </c>
      <c r="D41" s="9" t="inlineStr">
        <is>
          <t>OUT</t>
        </is>
      </c>
      <c r="E41" s="9" t="inlineStr">
        <is>
          <t>24V</t>
        </is>
      </c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9" t="inlineStr">
        <is>
          <t>AIR- J2</t>
        </is>
      </c>
      <c r="B42" s="9" t="inlineStr">
        <is>
          <t>1</t>
        </is>
      </c>
      <c r="C42" s="9" t="inlineStr">
        <is>
          <t>AIR-_12V</t>
        </is>
      </c>
      <c r="D42" s="9" t="inlineStr">
        <is>
          <t>IN</t>
        </is>
      </c>
      <c r="E42" s="9" t="inlineStr">
        <is>
          <t>12V</t>
        </is>
      </c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9" t="inlineStr">
        <is>
          <t>AIR- J2</t>
        </is>
      </c>
      <c r="B43" s="9" t="inlineStr">
        <is>
          <t>2</t>
        </is>
      </c>
      <c r="C43" s="9" t="inlineStr">
        <is>
          <t>AIR-_Feed</t>
        </is>
      </c>
      <c r="D43" s="9" t="inlineStr">
        <is>
          <t>OUT</t>
        </is>
      </c>
      <c r="E43" s="9" t="inlineStr">
        <is>
          <t>12V</t>
        </is>
      </c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9" t="inlineStr">
        <is>
          <t>AIR+ HV</t>
        </is>
      </c>
      <c r="B44" s="9" t="inlineStr">
        <is>
          <t>A1</t>
        </is>
      </c>
      <c r="C44" s="9" t="n"/>
      <c r="D44" s="9" t="n"/>
      <c r="E44" s="9" t="n"/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9" t="inlineStr">
        <is>
          <t>AIR+ HV</t>
        </is>
      </c>
      <c r="B45" s="9" t="inlineStr">
        <is>
          <t>A2</t>
        </is>
      </c>
      <c r="C45" s="9" t="n"/>
      <c r="D45" s="9" t="n"/>
      <c r="E45" s="9" t="n"/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9" t="inlineStr">
        <is>
          <t>AIR+ J1</t>
        </is>
      </c>
      <c r="B46" s="9" t="inlineStr">
        <is>
          <t>1</t>
        </is>
      </c>
      <c r="C46" s="9" t="inlineStr">
        <is>
          <t>AIR+_SDC</t>
        </is>
      </c>
      <c r="D46" s="9" t="inlineStr">
        <is>
          <t>IN</t>
        </is>
      </c>
      <c r="E46" s="9" t="inlineStr">
        <is>
          <t>24V</t>
        </is>
      </c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9" t="inlineStr">
        <is>
          <t>AIR+ J1</t>
        </is>
      </c>
      <c r="B47" s="9" t="inlineStr">
        <is>
          <t>2</t>
        </is>
      </c>
      <c r="C47" s="9" t="inlineStr">
        <is>
          <t>AIR+_Trigg</t>
        </is>
      </c>
      <c r="D47" s="9" t="inlineStr">
        <is>
          <t>OUT</t>
        </is>
      </c>
      <c r="E47" s="9" t="inlineStr">
        <is>
          <t>24V</t>
        </is>
      </c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9" t="inlineStr">
        <is>
          <t>AIR+ J2</t>
        </is>
      </c>
      <c r="B48" s="9" t="inlineStr">
        <is>
          <t>1</t>
        </is>
      </c>
      <c r="C48" s="9" t="inlineStr">
        <is>
          <t>AIR+_12V</t>
        </is>
      </c>
      <c r="D48" s="9" t="inlineStr">
        <is>
          <t>IN</t>
        </is>
      </c>
      <c r="E48" s="9" t="inlineStr">
        <is>
          <t>12V</t>
        </is>
      </c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9" t="inlineStr">
        <is>
          <t>AIR+ J2</t>
        </is>
      </c>
      <c r="B49" s="9" t="inlineStr">
        <is>
          <t>2</t>
        </is>
      </c>
      <c r="C49" s="9" t="inlineStr">
        <is>
          <t>AIR+_Feed</t>
        </is>
      </c>
      <c r="D49" s="9" t="inlineStr">
        <is>
          <t>OUT</t>
        </is>
      </c>
      <c r="E49" s="9" t="inlineStr">
        <is>
          <t>12V</t>
        </is>
      </c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9" t="inlineStr">
        <is>
          <t>PRE HV</t>
        </is>
      </c>
      <c r="B50" s="9" t="inlineStr">
        <is>
          <t>A1</t>
        </is>
      </c>
      <c r="C50" s="9" t="n"/>
      <c r="D50" s="9" t="n"/>
      <c r="E50" s="9" t="n"/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9" t="inlineStr">
        <is>
          <t>PRE HV</t>
        </is>
      </c>
      <c r="B51" s="9" t="inlineStr">
        <is>
          <t>A2</t>
        </is>
      </c>
      <c r="C51" s="9" t="n"/>
      <c r="D51" s="9" t="n"/>
      <c r="E51" s="9" t="n"/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  <row r="52">
      <c r="A52" s="9" t="inlineStr">
        <is>
          <t>PRE J1</t>
        </is>
      </c>
      <c r="B52" s="9" t="inlineStr">
        <is>
          <t>1</t>
        </is>
      </c>
      <c r="C52" s="9" t="inlineStr">
        <is>
          <t>Pre_SDC</t>
        </is>
      </c>
      <c r="D52" s="9" t="inlineStr">
        <is>
          <t>IN</t>
        </is>
      </c>
      <c r="E52" s="9" t="inlineStr">
        <is>
          <t>24V</t>
        </is>
      </c>
      <c r="F52" s="11">
        <f>IF(N52="","",INDEX(Wires!$A$2:$A$1000,N52))</f>
        <v/>
      </c>
      <c r="G52" s="11">
        <f>IF(N52="","",INDEX(Wires!$C$2:$C$1000,N52))</f>
        <v/>
      </c>
      <c r="H52" s="11">
        <f>IF(N52="","",IF(O52="from",INDEX(Wires!$F$2:$F$1000,N52)&amp;":"&amp;INDEX(Wires!$G$2:$G$1000,N52),INDEX(Wires!$D$2:$D$1000,N52)&amp;":"&amp;INDEX(Wires!$E$2:$E$1000,N52)))</f>
        <v/>
      </c>
      <c r="I52" s="11">
        <f>IF(N52="","",INDEX(Wires!$H$2:$H$1000,N52)&amp;"")</f>
        <v/>
      </c>
      <c r="J52" s="11">
        <f>IF(N52="","",IF(INDEX(Wires!$I$2:$I$1000,N52)="","",INDEX(Wires!$I$2:$I$1000,N52)))</f>
        <v/>
      </c>
      <c r="K52" s="11">
        <f>COUNTIF(Wires!$W$2:$W$1000,M52)+COUNTIF(Wires!$X$2:$X$1000,M52)</f>
        <v/>
      </c>
      <c r="L52" s="11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1">
        <f>A52&amp;":"&amp;B52&amp;IF(EXACT(B52,UPPER(B52)),"","|lc")</f>
        <v/>
      </c>
      <c r="N52" s="11">
        <f>IFERROR(MATCH(M52,Wires!$W$2:$W$1000,0),IFERROR(MATCH(M52,Wires!$X$2:$X$1000,0),""))</f>
        <v/>
      </c>
      <c r="O52" s="11">
        <f>IF(N52="","",IF(ISNUMBER(MATCH(M52,Wires!$W$2:$W$1000,0)),"from","to"))</f>
        <v/>
      </c>
    </row>
    <row r="53">
      <c r="A53" s="9" t="inlineStr">
        <is>
          <t>PRE J1</t>
        </is>
      </c>
      <c r="B53" s="9" t="inlineStr">
        <is>
          <t>2</t>
        </is>
      </c>
      <c r="C53" s="9" t="inlineStr">
        <is>
          <t>Pre_Trigg</t>
        </is>
      </c>
      <c r="D53" s="9" t="inlineStr">
        <is>
          <t>OUT</t>
        </is>
      </c>
      <c r="E53" s="9" t="inlineStr">
        <is>
          <t>24V</t>
        </is>
      </c>
      <c r="F53" s="11">
        <f>IF(N53="","",INDEX(Wires!$A$2:$A$1000,N53))</f>
        <v/>
      </c>
      <c r="G53" s="11">
        <f>IF(N53="","",INDEX(Wires!$C$2:$C$1000,N53))</f>
        <v/>
      </c>
      <c r="H53" s="11">
        <f>IF(N53="","",IF(O53="from",INDEX(Wires!$F$2:$F$1000,N53)&amp;":"&amp;INDEX(Wires!$G$2:$G$1000,N53),INDEX(Wires!$D$2:$D$1000,N53)&amp;":"&amp;INDEX(Wires!$E$2:$E$1000,N53)))</f>
        <v/>
      </c>
      <c r="I53" s="11">
        <f>IF(N53="","",INDEX(Wires!$H$2:$H$1000,N53)&amp;"")</f>
        <v/>
      </c>
      <c r="J53" s="11">
        <f>IF(N53="","",IF(INDEX(Wires!$I$2:$I$1000,N53)="","",INDEX(Wires!$I$2:$I$1000,N53)))</f>
        <v/>
      </c>
      <c r="K53" s="11">
        <f>COUNTIF(Wires!$W$2:$W$1000,M53)+COUNTIF(Wires!$X$2:$X$1000,M53)</f>
        <v/>
      </c>
      <c r="L53" s="11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1">
        <f>A53&amp;":"&amp;B53&amp;IF(EXACT(B53,UPPER(B53)),"","|lc")</f>
        <v/>
      </c>
      <c r="N53" s="11">
        <f>IFERROR(MATCH(M53,Wires!$W$2:$W$1000,0),IFERROR(MATCH(M53,Wires!$X$2:$X$1000,0),""))</f>
        <v/>
      </c>
      <c r="O53" s="11">
        <f>IF(N53="","",IF(ISNUMBER(MATCH(M53,Wires!$W$2:$W$1000,0)),"from","to"))</f>
        <v/>
      </c>
    </row>
    <row r="54">
      <c r="A54" s="9" t="inlineStr">
        <is>
          <t>PRE J2</t>
        </is>
      </c>
      <c r="B54" s="9" t="inlineStr">
        <is>
          <t>1</t>
        </is>
      </c>
      <c r="C54" s="9" t="inlineStr">
        <is>
          <t>Pre_12V</t>
        </is>
      </c>
      <c r="D54" s="9" t="inlineStr">
        <is>
          <t>IN</t>
        </is>
      </c>
      <c r="E54" s="9" t="inlineStr">
        <is>
          <t>12V</t>
        </is>
      </c>
      <c r="F54" s="11">
        <f>IF(N54="","",INDEX(Wires!$A$2:$A$1000,N54))</f>
        <v/>
      </c>
      <c r="G54" s="11">
        <f>IF(N54="","",INDEX(Wires!$C$2:$C$1000,N54))</f>
        <v/>
      </c>
      <c r="H54" s="11">
        <f>IF(N54="","",IF(O54="from",INDEX(Wires!$F$2:$F$1000,N54)&amp;":"&amp;INDEX(Wires!$G$2:$G$1000,N54),INDEX(Wires!$D$2:$D$1000,N54)&amp;":"&amp;INDEX(Wires!$E$2:$E$1000,N54)))</f>
        <v/>
      </c>
      <c r="I54" s="11">
        <f>IF(N54="","",INDEX(Wires!$H$2:$H$1000,N54)&amp;"")</f>
        <v/>
      </c>
      <c r="J54" s="11">
        <f>IF(N54="","",IF(INDEX(Wires!$I$2:$I$1000,N54)="","",INDEX(Wires!$I$2:$I$1000,N54)))</f>
        <v/>
      </c>
      <c r="K54" s="11">
        <f>COUNTIF(Wires!$W$2:$W$1000,M54)+COUNTIF(Wires!$X$2:$X$1000,M54)</f>
        <v/>
      </c>
      <c r="L54" s="11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1">
        <f>A54&amp;":"&amp;B54&amp;IF(EXACT(B54,UPPER(B54)),"","|lc")</f>
        <v/>
      </c>
      <c r="N54" s="11">
        <f>IFERROR(MATCH(M54,Wires!$W$2:$W$1000,0),IFERROR(MATCH(M54,Wires!$X$2:$X$1000,0),""))</f>
        <v/>
      </c>
      <c r="O54" s="11">
        <f>IF(N54="","",IF(ISNUMBER(MATCH(M54,Wires!$W$2:$W$1000,0)),"from","to"))</f>
        <v/>
      </c>
    </row>
    <row r="55">
      <c r="A55" s="9" t="inlineStr">
        <is>
          <t>PRE J2</t>
        </is>
      </c>
      <c r="B55" s="9" t="inlineStr">
        <is>
          <t>2</t>
        </is>
      </c>
      <c r="C55" s="9" t="inlineStr">
        <is>
          <t>Pre_Feed</t>
        </is>
      </c>
      <c r="D55" s="9" t="inlineStr">
        <is>
          <t>OUT</t>
        </is>
      </c>
      <c r="E55" s="9" t="inlineStr">
        <is>
          <t>12V</t>
        </is>
      </c>
      <c r="F55" s="11">
        <f>IF(N55="","",INDEX(Wires!$A$2:$A$1000,N55))</f>
        <v/>
      </c>
      <c r="G55" s="11">
        <f>IF(N55="","",INDEX(Wires!$C$2:$C$1000,N55))</f>
        <v/>
      </c>
      <c r="H55" s="11">
        <f>IF(N55="","",IF(O55="from",INDEX(Wires!$F$2:$F$1000,N55)&amp;":"&amp;INDEX(Wires!$G$2:$G$1000,N55),INDEX(Wires!$D$2:$D$1000,N55)&amp;":"&amp;INDEX(Wires!$E$2:$E$1000,N55)))</f>
        <v/>
      </c>
      <c r="I55" s="11">
        <f>IF(N55="","",INDEX(Wires!$H$2:$H$1000,N55)&amp;"")</f>
        <v/>
      </c>
      <c r="J55" s="11">
        <f>IF(N55="","",IF(INDEX(Wires!$I$2:$I$1000,N55)="","",INDEX(Wires!$I$2:$I$1000,N55)))</f>
        <v/>
      </c>
      <c r="K55" s="11">
        <f>COUNTIF(Wires!$W$2:$W$1000,M55)+COUNTIF(Wires!$X$2:$X$1000,M55)</f>
        <v/>
      </c>
      <c r="L55" s="11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1">
        <f>A55&amp;":"&amp;B55&amp;IF(EXACT(B55,UPPER(B55)),"","|lc")</f>
        <v/>
      </c>
      <c r="N55" s="11">
        <f>IFERROR(MATCH(M55,Wires!$W$2:$W$1000,0),IFERROR(MATCH(M55,Wires!$X$2:$X$1000,0),""))</f>
        <v/>
      </c>
      <c r="O55" s="11">
        <f>IF(N55="","",IF(ISNUMBER(MATCH(M55,Wires!$W$2:$W$1000,0)),"from","to"))</f>
        <v/>
      </c>
    </row>
    <row r="56">
      <c r="A56" s="9" t="inlineStr">
        <is>
          <t>ISA HV</t>
        </is>
      </c>
      <c r="B56" s="9" t="inlineStr">
        <is>
          <t>A1</t>
        </is>
      </c>
      <c r="C56" s="9" t="n"/>
      <c r="D56" s="9" t="n"/>
      <c r="E56" s="9" t="n"/>
      <c r="F56" s="11">
        <f>IF(N56="","",INDEX(Wires!$A$2:$A$1000,N56))</f>
        <v/>
      </c>
      <c r="G56" s="11">
        <f>IF(N56="","",INDEX(Wires!$C$2:$C$1000,N56))</f>
        <v/>
      </c>
      <c r="H56" s="11">
        <f>IF(N56="","",IF(O56="from",INDEX(Wires!$F$2:$F$1000,N56)&amp;":"&amp;INDEX(Wires!$G$2:$G$1000,N56),INDEX(Wires!$D$2:$D$1000,N56)&amp;":"&amp;INDEX(Wires!$E$2:$E$1000,N56)))</f>
        <v/>
      </c>
      <c r="I56" s="11">
        <f>IF(N56="","",INDEX(Wires!$H$2:$H$1000,N56)&amp;"")</f>
        <v/>
      </c>
      <c r="J56" s="11">
        <f>IF(N56="","",IF(INDEX(Wires!$I$2:$I$1000,N56)="","",INDEX(Wires!$I$2:$I$1000,N56)))</f>
        <v/>
      </c>
      <c r="K56" s="11">
        <f>COUNTIF(Wires!$W$2:$W$1000,M56)+COUNTIF(Wires!$X$2:$X$1000,M56)</f>
        <v/>
      </c>
      <c r="L56" s="11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1">
        <f>A56&amp;":"&amp;B56&amp;IF(EXACT(B56,UPPER(B56)),"","|lc")</f>
        <v/>
      </c>
      <c r="N56" s="11">
        <f>IFERROR(MATCH(M56,Wires!$W$2:$W$1000,0),IFERROR(MATCH(M56,Wires!$X$2:$X$1000,0),""))</f>
        <v/>
      </c>
      <c r="O56" s="11">
        <f>IF(N56="","",IF(ISNUMBER(MATCH(M56,Wires!$W$2:$W$1000,0)),"from","to"))</f>
        <v/>
      </c>
    </row>
    <row r="57">
      <c r="A57" s="9" t="inlineStr">
        <is>
          <t>ISA HV</t>
        </is>
      </c>
      <c r="B57" s="9" t="inlineStr">
        <is>
          <t>A2</t>
        </is>
      </c>
      <c r="C57" s="9" t="n"/>
      <c r="D57" s="9" t="n"/>
      <c r="E57" s="9" t="n"/>
      <c r="F57" s="11">
        <f>IF(N57="","",INDEX(Wires!$A$2:$A$1000,N57))</f>
        <v/>
      </c>
      <c r="G57" s="11">
        <f>IF(N57="","",INDEX(Wires!$C$2:$C$1000,N57))</f>
        <v/>
      </c>
      <c r="H57" s="11">
        <f>IF(N57="","",IF(O57="from",INDEX(Wires!$F$2:$F$1000,N57)&amp;":"&amp;INDEX(Wires!$G$2:$G$1000,N57),INDEX(Wires!$D$2:$D$1000,N57)&amp;":"&amp;INDEX(Wires!$E$2:$E$1000,N57)))</f>
        <v/>
      </c>
      <c r="I57" s="11">
        <f>IF(N57="","",INDEX(Wires!$H$2:$H$1000,N57)&amp;"")</f>
        <v/>
      </c>
      <c r="J57" s="11">
        <f>IF(N57="","",IF(INDEX(Wires!$I$2:$I$1000,N57)="","",INDEX(Wires!$I$2:$I$1000,N57)))</f>
        <v/>
      </c>
      <c r="K57" s="11">
        <f>COUNTIF(Wires!$W$2:$W$1000,M57)+COUNTIF(Wires!$X$2:$X$1000,M57)</f>
        <v/>
      </c>
      <c r="L57" s="11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1">
        <f>A57&amp;":"&amp;B57&amp;IF(EXACT(B57,UPPER(B57)),"","|lc")</f>
        <v/>
      </c>
      <c r="N57" s="11">
        <f>IFERROR(MATCH(M57,Wires!$W$2:$W$1000,0),IFERROR(MATCH(M57,Wires!$X$2:$X$1000,0),""))</f>
        <v/>
      </c>
      <c r="O57" s="11">
        <f>IF(N57="","",IF(ISNUMBER(MATCH(M57,Wires!$W$2:$W$1000,0)),"from","to"))</f>
        <v/>
      </c>
    </row>
    <row r="58">
      <c r="A58" s="9" t="inlineStr">
        <is>
          <t>ISA X1</t>
        </is>
      </c>
      <c r="B58" s="9" t="inlineStr">
        <is>
          <t>1</t>
        </is>
      </c>
      <c r="C58" s="9" t="inlineStr">
        <is>
          <t>ISA_GND</t>
        </is>
      </c>
      <c r="D58" s="9" t="inlineStr">
        <is>
          <t>GND</t>
        </is>
      </c>
      <c r="E58" s="9" t="inlineStr">
        <is>
          <t>0V</t>
        </is>
      </c>
      <c r="F58" s="11">
        <f>IF(N58="","",INDEX(Wires!$A$2:$A$1000,N58))</f>
        <v/>
      </c>
      <c r="G58" s="11">
        <f>IF(N58="","",INDEX(Wires!$C$2:$C$1000,N58))</f>
        <v/>
      </c>
      <c r="H58" s="11">
        <f>IF(N58="","",IF(O58="from",INDEX(Wires!$F$2:$F$1000,N58)&amp;":"&amp;INDEX(Wires!$G$2:$G$1000,N58),INDEX(Wires!$D$2:$D$1000,N58)&amp;":"&amp;INDEX(Wires!$E$2:$E$1000,N58)))</f>
        <v/>
      </c>
      <c r="I58" s="11">
        <f>IF(N58="","",INDEX(Wires!$H$2:$H$1000,N58)&amp;"")</f>
        <v/>
      </c>
      <c r="J58" s="11">
        <f>IF(N58="","",IF(INDEX(Wires!$I$2:$I$1000,N58)="","",INDEX(Wires!$I$2:$I$1000,N58)))</f>
        <v/>
      </c>
      <c r="K58" s="11">
        <f>COUNTIF(Wires!$W$2:$W$1000,M58)+COUNTIF(Wires!$X$2:$X$1000,M58)</f>
        <v/>
      </c>
      <c r="L58" s="11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1">
        <f>A58&amp;":"&amp;B58&amp;IF(EXACT(B58,UPPER(B58)),"","|lc")</f>
        <v/>
      </c>
      <c r="N58" s="11">
        <f>IFERROR(MATCH(M58,Wires!$W$2:$W$1000,0),IFERROR(MATCH(M58,Wires!$X$2:$X$1000,0),""))</f>
        <v/>
      </c>
      <c r="O58" s="11">
        <f>IF(N58="","",IF(ISNUMBER(MATCH(M58,Wires!$W$2:$W$1000,0)),"from","to"))</f>
        <v/>
      </c>
    </row>
    <row r="59">
      <c r="A59" s="9" t="inlineStr">
        <is>
          <t>ISA X1</t>
        </is>
      </c>
      <c r="B59" s="9" t="inlineStr">
        <is>
          <t>2</t>
        </is>
      </c>
      <c r="C59" s="9" t="inlineStr">
        <is>
          <t>PWT_Can_H</t>
        </is>
      </c>
      <c r="D59" s="9" t="inlineStr">
        <is>
          <t>BIDIR</t>
        </is>
      </c>
      <c r="E59" s="9" t="inlineStr">
        <is>
          <t>5V</t>
        </is>
      </c>
      <c r="F59" s="11">
        <f>IF(N59="","",INDEX(Wires!$A$2:$A$1000,N59))</f>
        <v/>
      </c>
      <c r="G59" s="11">
        <f>IF(N59="","",INDEX(Wires!$C$2:$C$1000,N59))</f>
        <v/>
      </c>
      <c r="H59" s="11">
        <f>IF(N59="","",IF(O59="from",INDEX(Wires!$F$2:$F$1000,N59)&amp;":"&amp;INDEX(Wires!$G$2:$G$1000,N59),INDEX(Wires!$D$2:$D$1000,N59)&amp;":"&amp;INDEX(Wires!$E$2:$E$1000,N59)))</f>
        <v/>
      </c>
      <c r="I59" s="11">
        <f>IF(N59="","",INDEX(Wires!$H$2:$H$1000,N59)&amp;"")</f>
        <v/>
      </c>
      <c r="J59" s="11">
        <f>IF(N59="","",IF(INDEX(Wires!$I$2:$I$1000,N59)="","",INDEX(Wires!$I$2:$I$1000,N59)))</f>
        <v/>
      </c>
      <c r="K59" s="11">
        <f>COUNTIF(Wires!$W$2:$W$1000,M59)+COUNTIF(Wires!$X$2:$X$1000,M59)</f>
        <v/>
      </c>
      <c r="L59" s="11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1">
        <f>A59&amp;":"&amp;B59&amp;IF(EXACT(B59,UPPER(B59)),"","|lc")</f>
        <v/>
      </c>
      <c r="N59" s="11">
        <f>IFERROR(MATCH(M59,Wires!$W$2:$W$1000,0),IFERROR(MATCH(M59,Wires!$X$2:$X$1000,0),""))</f>
        <v/>
      </c>
      <c r="O59" s="11">
        <f>IF(N59="","",IF(ISNUMBER(MATCH(M59,Wires!$W$2:$W$1000,0)),"from","to"))</f>
        <v/>
      </c>
    </row>
    <row r="60">
      <c r="A60" s="9" t="inlineStr">
        <is>
          <t>ISA X1</t>
        </is>
      </c>
      <c r="B60" s="9" t="inlineStr">
        <is>
          <t>3</t>
        </is>
      </c>
      <c r="C60" s="9" t="inlineStr">
        <is>
          <t>PWT_Can_L</t>
        </is>
      </c>
      <c r="D60" s="9" t="inlineStr">
        <is>
          <t>BIDIR</t>
        </is>
      </c>
      <c r="E60" s="9" t="inlineStr">
        <is>
          <t>5V</t>
        </is>
      </c>
      <c r="F60" s="11">
        <f>IF(N60="","",INDEX(Wires!$A$2:$A$1000,N60))</f>
        <v/>
      </c>
      <c r="G60" s="11">
        <f>IF(N60="","",INDEX(Wires!$C$2:$C$1000,N60))</f>
        <v/>
      </c>
      <c r="H60" s="11">
        <f>IF(N60="","",IF(O60="from",INDEX(Wires!$F$2:$F$1000,N60)&amp;":"&amp;INDEX(Wires!$G$2:$G$1000,N60),INDEX(Wires!$D$2:$D$1000,N60)&amp;":"&amp;INDEX(Wires!$E$2:$E$1000,N60)))</f>
        <v/>
      </c>
      <c r="I60" s="11">
        <f>IF(N60="","",INDEX(Wires!$H$2:$H$1000,N60)&amp;"")</f>
        <v/>
      </c>
      <c r="J60" s="11">
        <f>IF(N60="","",IF(INDEX(Wires!$I$2:$I$1000,N60)="","",INDEX(Wires!$I$2:$I$1000,N60)))</f>
        <v/>
      </c>
      <c r="K60" s="11">
        <f>COUNTIF(Wires!$W$2:$W$1000,M60)+COUNTIF(Wires!$X$2:$X$1000,M60)</f>
        <v/>
      </c>
      <c r="L60" s="11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1">
        <f>A60&amp;":"&amp;B60&amp;IF(EXACT(B60,UPPER(B60)),"","|lc")</f>
        <v/>
      </c>
      <c r="N60" s="11">
        <f>IFERROR(MATCH(M60,Wires!$W$2:$W$1000,0),IFERROR(MATCH(M60,Wires!$X$2:$X$1000,0),""))</f>
        <v/>
      </c>
      <c r="O60" s="11">
        <f>IF(N60="","",IF(ISNUMBER(MATCH(M60,Wires!$W$2:$W$1000,0)),"from","to"))</f>
        <v/>
      </c>
    </row>
    <row r="61">
      <c r="A61" s="9" t="inlineStr">
        <is>
          <t>ISA X1</t>
        </is>
      </c>
      <c r="B61" s="9" t="inlineStr">
        <is>
          <t>4</t>
        </is>
      </c>
      <c r="C61" s="9" t="inlineStr">
        <is>
          <t>ISA_VCC</t>
        </is>
      </c>
      <c r="D61" s="9" t="inlineStr">
        <is>
          <t>VCC</t>
        </is>
      </c>
      <c r="E61" s="9" t="inlineStr">
        <is>
          <t>24V</t>
        </is>
      </c>
      <c r="F61" s="11">
        <f>IF(N61="","",INDEX(Wires!$A$2:$A$1000,N61))</f>
        <v/>
      </c>
      <c r="G61" s="11">
        <f>IF(N61="","",INDEX(Wires!$C$2:$C$1000,N61))</f>
        <v/>
      </c>
      <c r="H61" s="11">
        <f>IF(N61="","",IF(O61="from",INDEX(Wires!$F$2:$F$1000,N61)&amp;":"&amp;INDEX(Wires!$G$2:$G$1000,N61),INDEX(Wires!$D$2:$D$1000,N61)&amp;":"&amp;INDEX(Wires!$E$2:$E$1000,N61)))</f>
        <v/>
      </c>
      <c r="I61" s="11">
        <f>IF(N61="","",INDEX(Wires!$H$2:$H$1000,N61)&amp;"")</f>
        <v/>
      </c>
      <c r="J61" s="11">
        <f>IF(N61="","",IF(INDEX(Wires!$I$2:$I$1000,N61)="","",INDEX(Wires!$I$2:$I$1000,N61)))</f>
        <v/>
      </c>
      <c r="K61" s="11">
        <f>COUNTIF(Wires!$W$2:$W$1000,M61)+COUNTIF(Wires!$X$2:$X$1000,M61)</f>
        <v/>
      </c>
      <c r="L61" s="11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1">
        <f>A61&amp;":"&amp;B61&amp;IF(EXACT(B61,UPPER(B61)),"","|lc")</f>
        <v/>
      </c>
      <c r="N61" s="11">
        <f>IFERROR(MATCH(M61,Wires!$W$2:$W$1000,0),IFERROR(MATCH(M61,Wires!$X$2:$X$1000,0),""))</f>
        <v/>
      </c>
      <c r="O61" s="11">
        <f>IF(N61="","",IF(ISNUMBER(MATCH(M61,Wires!$W$2:$W$1000,0)),"from","to"))</f>
        <v/>
      </c>
    </row>
    <row r="62">
      <c r="A62" s="9" t="inlineStr">
        <is>
          <t>VI J1</t>
        </is>
      </c>
      <c r="B62" s="9" t="inlineStr">
        <is>
          <t>1</t>
        </is>
      </c>
      <c r="C62" s="9" t="inlineStr">
        <is>
          <t>-HV VI</t>
        </is>
      </c>
      <c r="D62" s="9" t="inlineStr">
        <is>
          <t>IN</t>
        </is>
      </c>
      <c r="E62" s="9" t="inlineStr">
        <is>
          <t>0V</t>
        </is>
      </c>
      <c r="F62" s="11">
        <f>IF(N62="","",INDEX(Wires!$A$2:$A$1000,N62))</f>
        <v/>
      </c>
      <c r="G62" s="11">
        <f>IF(N62="","",INDEX(Wires!$C$2:$C$1000,N62))</f>
        <v/>
      </c>
      <c r="H62" s="11">
        <f>IF(N62="","",IF(O62="from",INDEX(Wires!$F$2:$F$1000,N62)&amp;":"&amp;INDEX(Wires!$G$2:$G$1000,N62),INDEX(Wires!$D$2:$D$1000,N62)&amp;":"&amp;INDEX(Wires!$E$2:$E$1000,N62)))</f>
        <v/>
      </c>
      <c r="I62" s="11">
        <f>IF(N62="","",INDEX(Wires!$H$2:$H$1000,N62)&amp;"")</f>
        <v/>
      </c>
      <c r="J62" s="11">
        <f>IF(N62="","",IF(INDEX(Wires!$I$2:$I$1000,N62)="","",INDEX(Wires!$I$2:$I$1000,N62)))</f>
        <v/>
      </c>
      <c r="K62" s="11">
        <f>COUNTIF(Wires!$W$2:$W$1000,M62)+COUNTIF(Wires!$X$2:$X$1000,M62)</f>
        <v/>
      </c>
      <c r="L62" s="11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1">
        <f>A62&amp;":"&amp;B62&amp;IF(EXACT(B62,UPPER(B62)),"","|lc")</f>
        <v/>
      </c>
      <c r="N62" s="11">
        <f>IFERROR(MATCH(M62,Wires!$W$2:$W$1000,0),IFERROR(MATCH(M62,Wires!$X$2:$X$1000,0),""))</f>
        <v/>
      </c>
      <c r="O62" s="11">
        <f>IF(N62="","",IF(ISNUMBER(MATCH(M62,Wires!$W$2:$W$1000,0)),"from","to"))</f>
        <v/>
      </c>
    </row>
    <row r="63">
      <c r="A63" s="9" t="inlineStr">
        <is>
          <t>VI J1</t>
        </is>
      </c>
      <c r="B63" s="9" t="inlineStr">
        <is>
          <t>2</t>
        </is>
      </c>
      <c r="C63" s="9" t="inlineStr">
        <is>
          <t>+HV VI</t>
        </is>
      </c>
      <c r="D63" s="9" t="inlineStr">
        <is>
          <t>IN</t>
        </is>
      </c>
      <c r="E63" s="9" t="inlineStr">
        <is>
          <t>600V</t>
        </is>
      </c>
      <c r="F63" s="11">
        <f>IF(N63="","",INDEX(Wires!$A$2:$A$1000,N63))</f>
        <v/>
      </c>
      <c r="G63" s="11">
        <f>IF(N63="","",INDEX(Wires!$C$2:$C$1000,N63))</f>
        <v/>
      </c>
      <c r="H63" s="11">
        <f>IF(N63="","",IF(O63="from",INDEX(Wires!$F$2:$F$1000,N63)&amp;":"&amp;INDEX(Wires!$G$2:$G$1000,N63),INDEX(Wires!$D$2:$D$1000,N63)&amp;":"&amp;INDEX(Wires!$E$2:$E$1000,N63)))</f>
        <v/>
      </c>
      <c r="I63" s="11">
        <f>IF(N63="","",INDEX(Wires!$H$2:$H$1000,N63)&amp;"")</f>
        <v/>
      </c>
      <c r="J63" s="11">
        <f>IF(N63="","",IF(INDEX(Wires!$I$2:$I$1000,N63)="","",INDEX(Wires!$I$2:$I$1000,N63)))</f>
        <v/>
      </c>
      <c r="K63" s="11">
        <f>COUNTIF(Wires!$W$2:$W$1000,M63)+COUNTIF(Wires!$X$2:$X$1000,M63)</f>
        <v/>
      </c>
      <c r="L63" s="11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1">
        <f>A63&amp;":"&amp;B63&amp;IF(EXACT(B63,UPPER(B63)),"","|lc")</f>
        <v/>
      </c>
      <c r="N63" s="11">
        <f>IFERROR(MATCH(M63,Wires!$W$2:$W$1000,0),IFERROR(MATCH(M63,Wires!$X$2:$X$1000,0),""))</f>
        <v/>
      </c>
      <c r="O63" s="11">
        <f>IF(N63="","",IF(ISNUMBER(MATCH(M63,Wires!$W$2:$W$1000,0)),"from","to"))</f>
        <v/>
      </c>
    </row>
    <row r="64">
      <c r="A64" s="9" t="inlineStr">
        <is>
          <t>VI J1</t>
        </is>
      </c>
      <c r="B64" s="9" t="inlineStr">
        <is>
          <t>3</t>
        </is>
      </c>
      <c r="C64" s="9" t="inlineStr">
        <is>
          <t>Pre VI</t>
        </is>
      </c>
      <c r="D64" s="9" t="inlineStr">
        <is>
          <t>IN</t>
        </is>
      </c>
      <c r="E64" s="9" t="inlineStr">
        <is>
          <t>0-600V</t>
        </is>
      </c>
      <c r="F64" s="11">
        <f>IF(N64="","",INDEX(Wires!$A$2:$A$1000,N64))</f>
        <v/>
      </c>
      <c r="G64" s="11">
        <f>IF(N64="","",INDEX(Wires!$C$2:$C$1000,N64))</f>
        <v/>
      </c>
      <c r="H64" s="11">
        <f>IF(N64="","",IF(O64="from",INDEX(Wires!$F$2:$F$1000,N64)&amp;":"&amp;INDEX(Wires!$G$2:$G$1000,N64),INDEX(Wires!$D$2:$D$1000,N64)&amp;":"&amp;INDEX(Wires!$E$2:$E$1000,N64)))</f>
        <v/>
      </c>
      <c r="I64" s="11">
        <f>IF(N64="","",INDEX(Wires!$H$2:$H$1000,N64)&amp;"")</f>
        <v/>
      </c>
      <c r="J64" s="11">
        <f>IF(N64="","",IF(INDEX(Wires!$I$2:$I$1000,N64)="","",INDEX(Wires!$I$2:$I$1000,N64)))</f>
        <v/>
      </c>
      <c r="K64" s="11">
        <f>COUNTIF(Wires!$W$2:$W$1000,M64)+COUNTIF(Wires!$X$2:$X$1000,M64)</f>
        <v/>
      </c>
      <c r="L64" s="11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1">
        <f>A64&amp;":"&amp;B64&amp;IF(EXACT(B64,UPPER(B64)),"","|lc")</f>
        <v/>
      </c>
      <c r="N64" s="11">
        <f>IFERROR(MATCH(M64,Wires!$W$2:$W$1000,0),IFERROR(MATCH(M64,Wires!$X$2:$X$1000,0),""))</f>
        <v/>
      </c>
      <c r="O64" s="11">
        <f>IF(N64="","",IF(ISNUMBER(MATCH(M64,Wires!$W$2:$W$1000,0)),"from","to"))</f>
        <v/>
      </c>
    </row>
    <row r="65">
      <c r="A65" s="9" t="inlineStr">
        <is>
          <t>VI J3</t>
        </is>
      </c>
      <c r="B65" s="9" t="inlineStr">
        <is>
          <t>1</t>
        </is>
      </c>
      <c r="C65" s="9" t="inlineStr">
        <is>
          <t>+VI Led</t>
        </is>
      </c>
      <c r="D65" s="9" t="inlineStr">
        <is>
          <t>VCC</t>
        </is>
      </c>
      <c r="E65" s="9" t="inlineStr">
        <is>
          <t>24V</t>
        </is>
      </c>
      <c r="F65" s="11">
        <f>IF(N65="","",INDEX(Wires!$A$2:$A$1000,N65))</f>
        <v/>
      </c>
      <c r="G65" s="11">
        <f>IF(N65="","",INDEX(Wires!$C$2:$C$1000,N65))</f>
        <v/>
      </c>
      <c r="H65" s="11">
        <f>IF(N65="","",IF(O65="from",INDEX(Wires!$F$2:$F$1000,N65)&amp;":"&amp;INDEX(Wires!$G$2:$G$1000,N65),INDEX(Wires!$D$2:$D$1000,N65)&amp;":"&amp;INDEX(Wires!$E$2:$E$1000,N65)))</f>
        <v/>
      </c>
      <c r="I65" s="11">
        <f>IF(N65="","",INDEX(Wires!$H$2:$H$1000,N65)&amp;"")</f>
        <v/>
      </c>
      <c r="J65" s="11">
        <f>IF(N65="","",IF(INDEX(Wires!$I$2:$I$1000,N65)="","",INDEX(Wires!$I$2:$I$1000,N65)))</f>
        <v/>
      </c>
      <c r="K65" s="11">
        <f>COUNTIF(Wires!$W$2:$W$1000,M65)+COUNTIF(Wires!$X$2:$X$1000,M65)</f>
        <v/>
      </c>
      <c r="L65" s="11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1">
        <f>A65&amp;":"&amp;B65&amp;IF(EXACT(B65,UPPER(B65)),"","|lc")</f>
        <v/>
      </c>
      <c r="N65" s="11">
        <f>IFERROR(MATCH(M65,Wires!$W$2:$W$1000,0),IFERROR(MATCH(M65,Wires!$X$2:$X$1000,0),""))</f>
        <v/>
      </c>
      <c r="O65" s="11">
        <f>IF(N65="","",IF(ISNUMBER(MATCH(M65,Wires!$W$2:$W$1000,0)),"from","to"))</f>
        <v/>
      </c>
    </row>
    <row r="66">
      <c r="A66" s="9" t="inlineStr">
        <is>
          <t>VI J3</t>
        </is>
      </c>
      <c r="B66" s="9" t="inlineStr">
        <is>
          <t>2</t>
        </is>
      </c>
      <c r="C66" s="9" t="inlineStr">
        <is>
          <t>-VI Led</t>
        </is>
      </c>
      <c r="D66" s="9" t="inlineStr">
        <is>
          <t>GND</t>
        </is>
      </c>
      <c r="E66" s="9" t="inlineStr">
        <is>
          <t>0V</t>
        </is>
      </c>
      <c r="F66" s="11">
        <f>IF(N66="","",INDEX(Wires!$A$2:$A$1000,N66))</f>
        <v/>
      </c>
      <c r="G66" s="11">
        <f>IF(N66="","",INDEX(Wires!$C$2:$C$1000,N66))</f>
        <v/>
      </c>
      <c r="H66" s="11">
        <f>IF(N66="","",IF(O66="from",INDEX(Wires!$F$2:$F$1000,N66)&amp;":"&amp;INDEX(Wires!$G$2:$G$1000,N66),INDEX(Wires!$D$2:$D$1000,N66)&amp;":"&amp;INDEX(Wires!$E$2:$E$1000,N66)))</f>
        <v/>
      </c>
      <c r="I66" s="11">
        <f>IF(N66="","",INDEX(Wires!$H$2:$H$1000,N66)&amp;"")</f>
        <v/>
      </c>
      <c r="J66" s="11">
        <f>IF(N66="","",IF(INDEX(Wires!$I$2:$I$1000,N66)="","",INDEX(Wires!$I$2:$I$1000,N66)))</f>
        <v/>
      </c>
      <c r="K66" s="11">
        <f>COUNTIF(Wires!$W$2:$W$1000,M66)+COUNTIF(Wires!$X$2:$X$1000,M66)</f>
        <v/>
      </c>
      <c r="L66" s="11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1">
        <f>A66&amp;":"&amp;B66&amp;IF(EXACT(B66,UPPER(B66)),"","|lc")</f>
        <v/>
      </c>
      <c r="N66" s="11">
        <f>IFERROR(MATCH(M66,Wires!$W$2:$W$1000,0),IFERROR(MATCH(M66,Wires!$X$2:$X$1000,0),""))</f>
        <v/>
      </c>
      <c r="O66" s="11">
        <f>IF(N66="","",IF(ISNUMBER(MATCH(M66,Wires!$W$2:$W$1000,0)),"from","to"))</f>
        <v/>
      </c>
    </row>
    <row r="67">
      <c r="A67" s="9" t="inlineStr">
        <is>
          <t>IMD XLA</t>
        </is>
      </c>
      <c r="B67" s="9" t="inlineStr">
        <is>
          <t>1</t>
        </is>
      </c>
      <c r="C67" s="9" t="inlineStr">
        <is>
          <t>+HV IMD</t>
        </is>
      </c>
      <c r="D67" s="9" t="inlineStr">
        <is>
          <t>IN</t>
        </is>
      </c>
      <c r="E67" s="9" t="inlineStr">
        <is>
          <t>600V</t>
        </is>
      </c>
      <c r="F67" s="11">
        <f>IF(N67="","",INDEX(Wires!$A$2:$A$1000,N67))</f>
        <v/>
      </c>
      <c r="G67" s="11">
        <f>IF(N67="","",INDEX(Wires!$C$2:$C$1000,N67))</f>
        <v/>
      </c>
      <c r="H67" s="11">
        <f>IF(N67="","",IF(O67="from",INDEX(Wires!$F$2:$F$1000,N67)&amp;":"&amp;INDEX(Wires!$G$2:$G$1000,N67),INDEX(Wires!$D$2:$D$1000,N67)&amp;":"&amp;INDEX(Wires!$E$2:$E$1000,N67)))</f>
        <v/>
      </c>
      <c r="I67" s="11">
        <f>IF(N67="","",INDEX(Wires!$H$2:$H$1000,N67)&amp;"")</f>
        <v/>
      </c>
      <c r="J67" s="11">
        <f>IF(N67="","",IF(INDEX(Wires!$I$2:$I$1000,N67)="","",INDEX(Wires!$I$2:$I$1000,N67)))</f>
        <v/>
      </c>
      <c r="K67" s="11">
        <f>COUNTIF(Wires!$W$2:$W$1000,M67)+COUNTIF(Wires!$X$2:$X$1000,M67)</f>
        <v/>
      </c>
      <c r="L67" s="11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1">
        <f>A67&amp;":"&amp;B67&amp;IF(EXACT(B67,UPPER(B67)),"","|lc")</f>
        <v/>
      </c>
      <c r="N67" s="11">
        <f>IFERROR(MATCH(M67,Wires!$W$2:$W$1000,0),IFERROR(MATCH(M67,Wires!$X$2:$X$1000,0),""))</f>
        <v/>
      </c>
      <c r="O67" s="11">
        <f>IF(N67="","",IF(ISNUMBER(MATCH(M67,Wires!$W$2:$W$1000,0)),"from","to"))</f>
        <v/>
      </c>
    </row>
    <row r="68">
      <c r="A68" s="9" t="inlineStr">
        <is>
          <t>IMD XLA</t>
        </is>
      </c>
      <c r="B68" s="9" t="inlineStr">
        <is>
          <t>2</t>
        </is>
      </c>
      <c r="C68" s="9" t="inlineStr">
        <is>
          <t>-HV IMD</t>
        </is>
      </c>
      <c r="D68" s="9" t="inlineStr">
        <is>
          <t>IN</t>
        </is>
      </c>
      <c r="E68" s="9" t="inlineStr">
        <is>
          <t>0V</t>
        </is>
      </c>
      <c r="F68" s="11">
        <f>IF(N68="","",INDEX(Wires!$A$2:$A$1000,N68))</f>
        <v/>
      </c>
      <c r="G68" s="11">
        <f>IF(N68="","",INDEX(Wires!$C$2:$C$1000,N68))</f>
        <v/>
      </c>
      <c r="H68" s="11">
        <f>IF(N68="","",IF(O68="from",INDEX(Wires!$F$2:$F$1000,N68)&amp;":"&amp;INDEX(Wires!$G$2:$G$1000,N68),INDEX(Wires!$D$2:$D$1000,N68)&amp;":"&amp;INDEX(Wires!$E$2:$E$1000,N68)))</f>
        <v/>
      </c>
      <c r="I68" s="11">
        <f>IF(N68="","",INDEX(Wires!$H$2:$H$1000,N68)&amp;"")</f>
        <v/>
      </c>
      <c r="J68" s="11">
        <f>IF(N68="","",IF(INDEX(Wires!$I$2:$I$1000,N68)="","",INDEX(Wires!$I$2:$I$1000,N68)))</f>
        <v/>
      </c>
      <c r="K68" s="11">
        <f>COUNTIF(Wires!$W$2:$W$1000,M68)+COUNTIF(Wires!$X$2:$X$1000,M68)</f>
        <v/>
      </c>
      <c r="L68" s="11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1">
        <f>A68&amp;":"&amp;B68&amp;IF(EXACT(B68,UPPER(B68)),"","|lc")</f>
        <v/>
      </c>
      <c r="N68" s="11">
        <f>IFERROR(MATCH(M68,Wires!$W$2:$W$1000,0),IFERROR(MATCH(M68,Wires!$X$2:$X$1000,0),""))</f>
        <v/>
      </c>
      <c r="O68" s="11">
        <f>IF(N68="","",IF(ISNUMBER(MATCH(M68,Wires!$W$2:$W$1000,0)),"from","to"))</f>
        <v/>
      </c>
    </row>
    <row r="69">
      <c r="A69" s="9" t="inlineStr">
        <is>
          <t>IMD XK1A</t>
        </is>
      </c>
      <c r="B69" s="9" t="inlineStr">
        <is>
          <t>1</t>
        </is>
      </c>
      <c r="C69" s="9" t="inlineStr">
        <is>
          <t>GND</t>
        </is>
      </c>
      <c r="D69" s="9" t="inlineStr">
        <is>
          <t>GND</t>
        </is>
      </c>
      <c r="E69" s="9" t="inlineStr">
        <is>
          <t>0V</t>
        </is>
      </c>
      <c r="F69" s="11">
        <f>IF(N69="","",INDEX(Wires!$A$2:$A$1000,N69))</f>
        <v/>
      </c>
      <c r="G69" s="11">
        <f>IF(N69="","",INDEX(Wires!$C$2:$C$1000,N69))</f>
        <v/>
      </c>
      <c r="H69" s="11">
        <f>IF(N69="","",IF(O69="from",INDEX(Wires!$F$2:$F$1000,N69)&amp;":"&amp;INDEX(Wires!$G$2:$G$1000,N69),INDEX(Wires!$D$2:$D$1000,N69)&amp;":"&amp;INDEX(Wires!$E$2:$E$1000,N69)))</f>
        <v/>
      </c>
      <c r="I69" s="11">
        <f>IF(N69="","",INDEX(Wires!$H$2:$H$1000,N69)&amp;"")</f>
        <v/>
      </c>
      <c r="J69" s="11">
        <f>IF(N69="","",IF(INDEX(Wires!$I$2:$I$1000,N69)="","",INDEX(Wires!$I$2:$I$1000,N69)))</f>
        <v/>
      </c>
      <c r="K69" s="11">
        <f>COUNTIF(Wires!$W$2:$W$1000,M69)+COUNTIF(Wires!$X$2:$X$1000,M69)</f>
        <v/>
      </c>
      <c r="L69" s="11">
        <f>IF(AND(K69=0,C69&lt;&gt;"",D69&lt;&gt;"NC"),"pino com sinal mas sem fio; ","")&amp;IF(AND(D69="NC",K69&gt;0),"pino NC com fio; ","")&amp;IF(AND(K69&gt;1,ISERROR(MATCH(IFERROR(INDEX(Connectors!$D$2:$D$1000,MATCH(A69,Connectors!$A$2:$A$1000,0)),""),{"SPLICE","STUD"},0))),"vários fios no mesmo pino; ","")</f>
        <v/>
      </c>
      <c r="M69" s="11">
        <f>A69&amp;":"&amp;B69&amp;IF(EXACT(B69,UPPER(B69)),"","|lc")</f>
        <v/>
      </c>
      <c r="N69" s="11">
        <f>IFERROR(MATCH(M69,Wires!$W$2:$W$1000,0),IFERROR(MATCH(M69,Wires!$X$2:$X$1000,0),""))</f>
        <v/>
      </c>
      <c r="O69" s="11">
        <f>IF(N69="","",IF(ISNUMBER(MATCH(M69,Wires!$W$2:$W$1000,0)),"from","to"))</f>
        <v/>
      </c>
    </row>
    <row r="70">
      <c r="A70" s="9" t="inlineStr">
        <is>
          <t>IMD XK1A</t>
        </is>
      </c>
      <c r="B70" s="9" t="inlineStr">
        <is>
          <t>2</t>
        </is>
      </c>
      <c r="C70" s="9" t="inlineStr">
        <is>
          <t>+24V</t>
        </is>
      </c>
      <c r="D70" s="9" t="inlineStr">
        <is>
          <t>VCC</t>
        </is>
      </c>
      <c r="E70" s="9" t="inlineStr">
        <is>
          <t>24V</t>
        </is>
      </c>
      <c r="F70" s="11">
        <f>IF(N70="","",INDEX(Wires!$A$2:$A$1000,N70))</f>
        <v/>
      </c>
      <c r="G70" s="11">
        <f>IF(N70="","",INDEX(Wires!$C$2:$C$1000,N70))</f>
        <v/>
      </c>
      <c r="H70" s="11">
        <f>IF(N70="","",IF(O70="from",INDEX(Wires!$F$2:$F$1000,N70)&amp;":"&amp;INDEX(Wires!$G$2:$G$1000,N70),INDEX(Wires!$D$2:$D$1000,N70)&amp;":"&amp;INDEX(Wires!$E$2:$E$1000,N70)))</f>
        <v/>
      </c>
      <c r="I70" s="11">
        <f>IF(N70="","",INDEX(Wires!$H$2:$H$1000,N70)&amp;"")</f>
        <v/>
      </c>
      <c r="J70" s="11">
        <f>IF(N70="","",IF(INDEX(Wires!$I$2:$I$1000,N70)="","",INDEX(Wires!$I$2:$I$1000,N70)))</f>
        <v/>
      </c>
      <c r="K70" s="11">
        <f>COUNTIF(Wires!$W$2:$W$1000,M70)+COUNTIF(Wires!$X$2:$X$1000,M70)</f>
        <v/>
      </c>
      <c r="L70" s="11">
        <f>IF(AND(K70=0,C70&lt;&gt;"",D70&lt;&gt;"NC"),"pino com sinal mas sem fio; ","")&amp;IF(AND(D70="NC",K70&gt;0),"pino NC com fio; ","")&amp;IF(AND(K70&gt;1,ISERROR(MATCH(IFERROR(INDEX(Connectors!$D$2:$D$1000,MATCH(A70,Connectors!$A$2:$A$1000,0)),""),{"SPLICE","STUD"},0))),"vários fios no mesmo pino; ","")</f>
        <v/>
      </c>
      <c r="M70" s="11">
        <f>A70&amp;":"&amp;B70&amp;IF(EXACT(B70,UPPER(B70)),"","|lc")</f>
        <v/>
      </c>
      <c r="N70" s="11">
        <f>IFERROR(MATCH(M70,Wires!$W$2:$W$1000,0),IFERROR(MATCH(M70,Wires!$X$2:$X$1000,0),""))</f>
        <v/>
      </c>
      <c r="O70" s="11">
        <f>IF(N70="","",IF(ISNUMBER(MATCH(M70,Wires!$W$2:$W$1000,0)),"from","to"))</f>
        <v/>
      </c>
    </row>
    <row r="71">
      <c r="A71" s="9" t="inlineStr">
        <is>
          <t>IMD XK1A</t>
        </is>
      </c>
      <c r="B71" s="9" t="inlineStr">
        <is>
          <t>3</t>
        </is>
      </c>
      <c r="C71" s="9" t="inlineStr">
        <is>
          <t>Chassi GND</t>
        </is>
      </c>
      <c r="D71" s="9" t="inlineStr">
        <is>
          <t>IN</t>
        </is>
      </c>
      <c r="E71" s="9" t="inlineStr">
        <is>
          <t>0V</t>
        </is>
      </c>
      <c r="F71" s="11">
        <f>IF(N71="","",INDEX(Wires!$A$2:$A$1000,N71))</f>
        <v/>
      </c>
      <c r="G71" s="11">
        <f>IF(N71="","",INDEX(Wires!$C$2:$C$1000,N71))</f>
        <v/>
      </c>
      <c r="H71" s="11">
        <f>IF(N71="","",IF(O71="from",INDEX(Wires!$F$2:$F$1000,N71)&amp;":"&amp;INDEX(Wires!$G$2:$G$1000,N71),INDEX(Wires!$D$2:$D$1000,N71)&amp;":"&amp;INDEX(Wires!$E$2:$E$1000,N71)))</f>
        <v/>
      </c>
      <c r="I71" s="11">
        <f>IF(N71="","",INDEX(Wires!$H$2:$H$1000,N71)&amp;"")</f>
        <v/>
      </c>
      <c r="J71" s="11">
        <f>IF(N71="","",IF(INDEX(Wires!$I$2:$I$1000,N71)="","",INDEX(Wires!$I$2:$I$1000,N71)))</f>
        <v/>
      </c>
      <c r="K71" s="11">
        <f>COUNTIF(Wires!$W$2:$W$1000,M71)+COUNTIF(Wires!$X$2:$X$1000,M71)</f>
        <v/>
      </c>
      <c r="L71" s="11">
        <f>IF(AND(K71=0,C71&lt;&gt;"",D71&lt;&gt;"NC"),"pino com sinal mas sem fio; ","")&amp;IF(AND(D71="NC",K71&gt;0),"pino NC com fio; ","")&amp;IF(AND(K71&gt;1,ISERROR(MATCH(IFERROR(INDEX(Connectors!$D$2:$D$1000,MATCH(A71,Connectors!$A$2:$A$1000,0)),""),{"SPLICE","STUD"},0))),"vários fios no mesmo pino; ","")</f>
        <v/>
      </c>
      <c r="M71" s="11">
        <f>A71&amp;":"&amp;B71&amp;IF(EXACT(B71,UPPER(B71)),"","|lc")</f>
        <v/>
      </c>
      <c r="N71" s="11">
        <f>IFERROR(MATCH(M71,Wires!$W$2:$W$1000,0),IFERROR(MATCH(M71,Wires!$X$2:$X$1000,0),""))</f>
        <v/>
      </c>
      <c r="O71" s="11">
        <f>IF(N71="","",IF(ISNUMBER(MATCH(M71,Wires!$W$2:$W$1000,0)),"from","to"))</f>
        <v/>
      </c>
    </row>
    <row r="72">
      <c r="A72" s="9" t="inlineStr">
        <is>
          <t>IMD XK1A</t>
        </is>
      </c>
      <c r="B72" s="9" t="inlineStr">
        <is>
          <t>4</t>
        </is>
      </c>
      <c r="C72" s="9" t="inlineStr">
        <is>
          <t>ACU GND</t>
        </is>
      </c>
      <c r="D72" s="9" t="inlineStr">
        <is>
          <t>IN</t>
        </is>
      </c>
      <c r="E72" s="9" t="inlineStr">
        <is>
          <t>0V</t>
        </is>
      </c>
      <c r="F72" s="11">
        <f>IF(N72="","",INDEX(Wires!$A$2:$A$1000,N72))</f>
        <v/>
      </c>
      <c r="G72" s="11">
        <f>IF(N72="","",INDEX(Wires!$C$2:$C$1000,N72))</f>
        <v/>
      </c>
      <c r="H72" s="11">
        <f>IF(N72="","",IF(O72="from",INDEX(Wires!$F$2:$F$1000,N72)&amp;":"&amp;INDEX(Wires!$G$2:$G$1000,N72),INDEX(Wires!$D$2:$D$1000,N72)&amp;":"&amp;INDEX(Wires!$E$2:$E$1000,N72)))</f>
        <v/>
      </c>
      <c r="I72" s="11">
        <f>IF(N72="","",INDEX(Wires!$H$2:$H$1000,N72)&amp;"")</f>
        <v/>
      </c>
      <c r="J72" s="11">
        <f>IF(N72="","",IF(INDEX(Wires!$I$2:$I$1000,N72)="","",INDEX(Wires!$I$2:$I$1000,N72)))</f>
        <v/>
      </c>
      <c r="K72" s="11">
        <f>COUNTIF(Wires!$W$2:$W$1000,M72)+COUNTIF(Wires!$X$2:$X$1000,M72)</f>
        <v/>
      </c>
      <c r="L72" s="11">
        <f>IF(AND(K72=0,C72&lt;&gt;"",D72&lt;&gt;"NC"),"pino com sinal mas sem fio; ","")&amp;IF(AND(D72="NC",K72&gt;0),"pino NC com fio; ","")&amp;IF(AND(K72&gt;1,ISERROR(MATCH(IFERROR(INDEX(Connectors!$D$2:$D$1000,MATCH(A72,Connectors!$A$2:$A$1000,0)),""),{"SPLICE","STUD"},0))),"vários fios no mesmo pino; ","")</f>
        <v/>
      </c>
      <c r="M72" s="11">
        <f>A72&amp;":"&amp;B72&amp;IF(EXACT(B72,UPPER(B72)),"","|lc")</f>
        <v/>
      </c>
      <c r="N72" s="11">
        <f>IFERROR(MATCH(M72,Wires!$W$2:$W$1000,0),IFERROR(MATCH(M72,Wires!$X$2:$X$1000,0),""))</f>
        <v/>
      </c>
      <c r="O72" s="11">
        <f>IF(N72="","",IF(ISNUMBER(MATCH(M72,Wires!$W$2:$W$1000,0)),"from","to"))</f>
        <v/>
      </c>
    </row>
    <row r="73">
      <c r="A73" s="9" t="inlineStr">
        <is>
          <t>IMD XK1A</t>
        </is>
      </c>
      <c r="B73" s="9" t="inlineStr">
        <is>
          <t>5</t>
        </is>
      </c>
      <c r="C73" s="9" t="n"/>
      <c r="D73" s="9" t="inlineStr">
        <is>
          <t>NC</t>
        </is>
      </c>
      <c r="E73" s="9" t="n"/>
      <c r="F73" s="11">
        <f>IF(N73="","",INDEX(Wires!$A$2:$A$1000,N73))</f>
        <v/>
      </c>
      <c r="G73" s="11">
        <f>IF(N73="","",INDEX(Wires!$C$2:$C$1000,N73))</f>
        <v/>
      </c>
      <c r="H73" s="11">
        <f>IF(N73="","",IF(O73="from",INDEX(Wires!$F$2:$F$1000,N73)&amp;":"&amp;INDEX(Wires!$G$2:$G$1000,N73),INDEX(Wires!$D$2:$D$1000,N73)&amp;":"&amp;INDEX(Wires!$E$2:$E$1000,N73)))</f>
        <v/>
      </c>
      <c r="I73" s="11">
        <f>IF(N73="","",INDEX(Wires!$H$2:$H$1000,N73)&amp;"")</f>
        <v/>
      </c>
      <c r="J73" s="11">
        <f>IF(N73="","",IF(INDEX(Wires!$I$2:$I$1000,N73)="","",INDEX(Wires!$I$2:$I$1000,N73)))</f>
        <v/>
      </c>
      <c r="K73" s="11">
        <f>COUNTIF(Wires!$W$2:$W$1000,M73)+COUNTIF(Wires!$X$2:$X$1000,M73)</f>
        <v/>
      </c>
      <c r="L73" s="11">
        <f>IF(AND(K73=0,C73&lt;&gt;"",D73&lt;&gt;"NC"),"pino com sinal mas sem fio; ","")&amp;IF(AND(D73="NC",K73&gt;0),"pino NC com fio; ","")&amp;IF(AND(K73&gt;1,ISERROR(MATCH(IFERROR(INDEX(Connectors!$D$2:$D$1000,MATCH(A73,Connectors!$A$2:$A$1000,0)),""),{"SPLICE","STUD"},0))),"vários fios no mesmo pino; ","")</f>
        <v/>
      </c>
      <c r="M73" s="11">
        <f>A73&amp;":"&amp;B73&amp;IF(EXACT(B73,UPPER(B73)),"","|lc")</f>
        <v/>
      </c>
      <c r="N73" s="11">
        <f>IFERROR(MATCH(M73,Wires!$W$2:$W$1000,0),IFERROR(MATCH(M73,Wires!$X$2:$X$1000,0),""))</f>
        <v/>
      </c>
      <c r="O73" s="11">
        <f>IF(N73="","",IF(ISNUMBER(MATCH(M73,Wires!$W$2:$W$1000,0)),"from","to"))</f>
        <v/>
      </c>
    </row>
    <row r="74">
      <c r="A74" s="9" t="inlineStr">
        <is>
          <t>IMD XK1A</t>
        </is>
      </c>
      <c r="B74" s="9" t="inlineStr">
        <is>
          <t>6</t>
        </is>
      </c>
      <c r="C74" s="9" t="n"/>
      <c r="D74" s="9" t="inlineStr">
        <is>
          <t>NC</t>
        </is>
      </c>
      <c r="E74" s="9" t="n"/>
      <c r="F74" s="11">
        <f>IF(N74="","",INDEX(Wires!$A$2:$A$1000,N74))</f>
        <v/>
      </c>
      <c r="G74" s="11">
        <f>IF(N74="","",INDEX(Wires!$C$2:$C$1000,N74))</f>
        <v/>
      </c>
      <c r="H74" s="11">
        <f>IF(N74="","",IF(O74="from",INDEX(Wires!$F$2:$F$1000,N74)&amp;":"&amp;INDEX(Wires!$G$2:$G$1000,N74),INDEX(Wires!$D$2:$D$1000,N74)&amp;":"&amp;INDEX(Wires!$E$2:$E$1000,N74)))</f>
        <v/>
      </c>
      <c r="I74" s="11">
        <f>IF(N74="","",INDEX(Wires!$H$2:$H$1000,N74)&amp;"")</f>
        <v/>
      </c>
      <c r="J74" s="11">
        <f>IF(N74="","",IF(INDEX(Wires!$I$2:$I$1000,N74)="","",INDEX(Wires!$I$2:$I$1000,N74)))</f>
        <v/>
      </c>
      <c r="K74" s="11">
        <f>COUNTIF(Wires!$W$2:$W$1000,M74)+COUNTIF(Wires!$X$2:$X$1000,M74)</f>
        <v/>
      </c>
      <c r="L74" s="11">
        <f>IF(AND(K74=0,C74&lt;&gt;"",D74&lt;&gt;"NC"),"pino com sinal mas sem fio; ","")&amp;IF(AND(D74="NC",K74&gt;0),"pino NC com fio; ","")&amp;IF(AND(K74&gt;1,ISERROR(MATCH(IFERROR(INDEX(Connectors!$D$2:$D$1000,MATCH(A74,Connectors!$A$2:$A$1000,0)),""),{"SPLICE","STUD"},0))),"vários fios no mesmo pino; ","")</f>
        <v/>
      </c>
      <c r="M74" s="11">
        <f>A74&amp;":"&amp;B74&amp;IF(EXACT(B74,UPPER(B74)),"","|lc")</f>
        <v/>
      </c>
      <c r="N74" s="11">
        <f>IFERROR(MATCH(M74,Wires!$W$2:$W$1000,0),IFERROR(MATCH(M74,Wires!$X$2:$X$1000,0),""))</f>
        <v/>
      </c>
      <c r="O74" s="11">
        <f>IF(N74="","",IF(ISNUMBER(MATCH(M74,Wires!$W$2:$W$1000,0)),"from","to"))</f>
        <v/>
      </c>
    </row>
    <row r="75">
      <c r="A75" s="9" t="inlineStr">
        <is>
          <t>IMD XK1A</t>
        </is>
      </c>
      <c r="B75" s="9" t="inlineStr">
        <is>
          <t>7</t>
        </is>
      </c>
      <c r="C75" s="9" t="n"/>
      <c r="D75" s="9" t="inlineStr">
        <is>
          <t>NC</t>
        </is>
      </c>
      <c r="E75" s="9" t="n"/>
      <c r="F75" s="11">
        <f>IF(N75="","",INDEX(Wires!$A$2:$A$1000,N75))</f>
        <v/>
      </c>
      <c r="G75" s="11">
        <f>IF(N75="","",INDEX(Wires!$C$2:$C$1000,N75))</f>
        <v/>
      </c>
      <c r="H75" s="11">
        <f>IF(N75="","",IF(O75="from",INDEX(Wires!$F$2:$F$1000,N75)&amp;":"&amp;INDEX(Wires!$G$2:$G$1000,N75),INDEX(Wires!$D$2:$D$1000,N75)&amp;":"&amp;INDEX(Wires!$E$2:$E$1000,N75)))</f>
        <v/>
      </c>
      <c r="I75" s="11">
        <f>IF(N75="","",INDEX(Wires!$H$2:$H$1000,N75)&amp;"")</f>
        <v/>
      </c>
      <c r="J75" s="11">
        <f>IF(N75="","",IF(INDEX(Wires!$I$2:$I$1000,N75)="","",INDEX(Wires!$I$2:$I$1000,N75)))</f>
        <v/>
      </c>
      <c r="K75" s="11">
        <f>COUNTIF(Wires!$W$2:$W$1000,M75)+COUNTIF(Wires!$X$2:$X$1000,M75)</f>
        <v/>
      </c>
      <c r="L75" s="11">
        <f>IF(AND(K75=0,C75&lt;&gt;"",D75&lt;&gt;"NC"),"pino com sinal mas sem fio; ","")&amp;IF(AND(D75="NC",K75&gt;0),"pino NC com fio; ","")&amp;IF(AND(K75&gt;1,ISERROR(MATCH(IFERROR(INDEX(Connectors!$D$2:$D$1000,MATCH(A75,Connectors!$A$2:$A$1000,0)),""),{"SPLICE","STUD"},0))),"vários fios no mesmo pino; ","")</f>
        <v/>
      </c>
      <c r="M75" s="11">
        <f>A75&amp;":"&amp;B75&amp;IF(EXACT(B75,UPPER(B75)),"","|lc")</f>
        <v/>
      </c>
      <c r="N75" s="11">
        <f>IFERROR(MATCH(M75,Wires!$W$2:$W$1000,0),IFERROR(MATCH(M75,Wires!$X$2:$X$1000,0),""))</f>
        <v/>
      </c>
      <c r="O75" s="11">
        <f>IF(N75="","",IF(ISNUMBER(MATCH(M75,Wires!$W$2:$W$1000,0)),"from","to"))</f>
        <v/>
      </c>
    </row>
    <row r="76">
      <c r="A76" s="9" t="inlineStr">
        <is>
          <t>IMD XK1A</t>
        </is>
      </c>
      <c r="B76" s="9" t="inlineStr">
        <is>
          <t>8</t>
        </is>
      </c>
      <c r="C76" s="9" t="inlineStr">
        <is>
          <t>Status</t>
        </is>
      </c>
      <c r="D76" s="9" t="inlineStr">
        <is>
          <t>OUT</t>
        </is>
      </c>
      <c r="E76" s="9" t="inlineStr">
        <is>
          <t>24V</t>
        </is>
      </c>
      <c r="F76" s="11">
        <f>IF(N76="","",INDEX(Wires!$A$2:$A$1000,N76))</f>
        <v/>
      </c>
      <c r="G76" s="11">
        <f>IF(N76="","",INDEX(Wires!$C$2:$C$1000,N76))</f>
        <v/>
      </c>
      <c r="H76" s="11">
        <f>IF(N76="","",IF(O76="from",INDEX(Wires!$F$2:$F$1000,N76)&amp;":"&amp;INDEX(Wires!$G$2:$G$1000,N76),INDEX(Wires!$D$2:$D$1000,N76)&amp;":"&amp;INDEX(Wires!$E$2:$E$1000,N76)))</f>
        <v/>
      </c>
      <c r="I76" s="11">
        <f>IF(N76="","",INDEX(Wires!$H$2:$H$1000,N76)&amp;"")</f>
        <v/>
      </c>
      <c r="J76" s="11">
        <f>IF(N76="","",IF(INDEX(Wires!$I$2:$I$1000,N76)="","",INDEX(Wires!$I$2:$I$1000,N76)))</f>
        <v/>
      </c>
      <c r="K76" s="11">
        <f>COUNTIF(Wires!$W$2:$W$1000,M76)+COUNTIF(Wires!$X$2:$X$1000,M76)</f>
        <v/>
      </c>
      <c r="L76" s="11">
        <f>IF(AND(K76=0,C76&lt;&gt;"",D76&lt;&gt;"NC"),"pino com sinal mas sem fio; ","")&amp;IF(AND(D76="NC",K76&gt;0),"pino NC com fio; ","")&amp;IF(AND(K76&gt;1,ISERROR(MATCH(IFERROR(INDEX(Connectors!$D$2:$D$1000,MATCH(A76,Connectors!$A$2:$A$1000,0)),""),{"SPLICE","STUD"},0))),"vários fios no mesmo pino; ","")</f>
        <v/>
      </c>
      <c r="M76" s="11">
        <f>A76&amp;":"&amp;B76&amp;IF(EXACT(B76,UPPER(B76)),"","|lc")</f>
        <v/>
      </c>
      <c r="N76" s="11">
        <f>IFERROR(MATCH(M76,Wires!$W$2:$W$1000,0),IFERROR(MATCH(M76,Wires!$X$2:$X$1000,0),""))</f>
        <v/>
      </c>
      <c r="O76" s="11">
        <f>IF(N76="","",IF(ISNUMBER(MATCH(M76,Wires!$W$2:$W$1000,0)),"from","to"))</f>
        <v/>
      </c>
    </row>
    <row r="77">
      <c r="A77" s="9" t="inlineStr">
        <is>
          <t>TSAL J1</t>
        </is>
      </c>
      <c r="B77" s="9" t="inlineStr">
        <is>
          <t>1</t>
        </is>
      </c>
      <c r="C77" s="9" t="inlineStr">
        <is>
          <t>+HV</t>
        </is>
      </c>
      <c r="D77" s="9" t="inlineStr">
        <is>
          <t>IN</t>
        </is>
      </c>
      <c r="E77" s="9" t="inlineStr">
        <is>
          <t>600V</t>
        </is>
      </c>
      <c r="F77" s="11">
        <f>IF(N77="","",INDEX(Wires!$A$2:$A$1000,N77))</f>
        <v/>
      </c>
      <c r="G77" s="11">
        <f>IF(N77="","",INDEX(Wires!$C$2:$C$1000,N77))</f>
        <v/>
      </c>
      <c r="H77" s="11">
        <f>IF(N77="","",IF(O77="from",INDEX(Wires!$F$2:$F$1000,N77)&amp;":"&amp;INDEX(Wires!$G$2:$G$1000,N77),INDEX(Wires!$D$2:$D$1000,N77)&amp;":"&amp;INDEX(Wires!$E$2:$E$1000,N77)))</f>
        <v/>
      </c>
      <c r="I77" s="11">
        <f>IF(N77="","",INDEX(Wires!$H$2:$H$1000,N77)&amp;"")</f>
        <v/>
      </c>
      <c r="J77" s="11">
        <f>IF(N77="","",IF(INDEX(Wires!$I$2:$I$1000,N77)="","",INDEX(Wires!$I$2:$I$1000,N77)))</f>
        <v/>
      </c>
      <c r="K77" s="11">
        <f>COUNTIF(Wires!$W$2:$W$1000,M77)+COUNTIF(Wires!$X$2:$X$1000,M77)</f>
        <v/>
      </c>
      <c r="L77" s="11">
        <f>IF(AND(K77=0,C77&lt;&gt;"",D77&lt;&gt;"NC"),"pino com sinal mas sem fio; ","")&amp;IF(AND(D77="NC",K77&gt;0),"pino NC com fio; ","")&amp;IF(AND(K77&gt;1,ISERROR(MATCH(IFERROR(INDEX(Connectors!$D$2:$D$1000,MATCH(A77,Connectors!$A$2:$A$1000,0)),""),{"SPLICE","STUD"},0))),"vários fios no mesmo pino; ","")</f>
        <v/>
      </c>
      <c r="M77" s="11">
        <f>A77&amp;":"&amp;B77&amp;IF(EXACT(B77,UPPER(B77)),"","|lc")</f>
        <v/>
      </c>
      <c r="N77" s="11">
        <f>IFERROR(MATCH(M77,Wires!$W$2:$W$1000,0),IFERROR(MATCH(M77,Wires!$X$2:$X$1000,0),""))</f>
        <v/>
      </c>
      <c r="O77" s="11">
        <f>IF(N77="","",IF(ISNUMBER(MATCH(M77,Wires!$W$2:$W$1000,0)),"from","to"))</f>
        <v/>
      </c>
    </row>
    <row r="78">
      <c r="A78" s="9" t="inlineStr">
        <is>
          <t>TSAL J1</t>
        </is>
      </c>
      <c r="B78" s="9" t="inlineStr">
        <is>
          <t>2</t>
        </is>
      </c>
      <c r="C78" s="9" t="inlineStr">
        <is>
          <t>-HV</t>
        </is>
      </c>
      <c r="D78" s="9" t="inlineStr">
        <is>
          <t>IN</t>
        </is>
      </c>
      <c r="E78" s="9" t="inlineStr">
        <is>
          <t>0V</t>
        </is>
      </c>
      <c r="F78" s="11">
        <f>IF(N78="","",INDEX(Wires!$A$2:$A$1000,N78))</f>
        <v/>
      </c>
      <c r="G78" s="11">
        <f>IF(N78="","",INDEX(Wires!$C$2:$C$1000,N78))</f>
        <v/>
      </c>
      <c r="H78" s="11">
        <f>IF(N78="","",IF(O78="from",INDEX(Wires!$F$2:$F$1000,N78)&amp;":"&amp;INDEX(Wires!$G$2:$G$1000,N78),INDEX(Wires!$D$2:$D$1000,N78)&amp;":"&amp;INDEX(Wires!$E$2:$E$1000,N78)))</f>
        <v/>
      </c>
      <c r="I78" s="11">
        <f>IF(N78="","",INDEX(Wires!$H$2:$H$1000,N78)&amp;"")</f>
        <v/>
      </c>
      <c r="J78" s="11">
        <f>IF(N78="","",IF(INDEX(Wires!$I$2:$I$1000,N78)="","",INDEX(Wires!$I$2:$I$1000,N78)))</f>
        <v/>
      </c>
      <c r="K78" s="11">
        <f>COUNTIF(Wires!$W$2:$W$1000,M78)+COUNTIF(Wires!$X$2:$X$1000,M78)</f>
        <v/>
      </c>
      <c r="L78" s="11">
        <f>IF(AND(K78=0,C78&lt;&gt;"",D78&lt;&gt;"NC"),"pino com sinal mas sem fio; ","")&amp;IF(AND(D78="NC",K78&gt;0),"pino NC com fio; ","")&amp;IF(AND(K78&gt;1,ISERROR(MATCH(IFERROR(INDEX(Connectors!$D$2:$D$1000,MATCH(A78,Connectors!$A$2:$A$1000,0)),""),{"SPLICE","STUD"},0))),"vários fios no mesmo pino; ","")</f>
        <v/>
      </c>
      <c r="M78" s="11">
        <f>A78&amp;":"&amp;B78&amp;IF(EXACT(B78,UPPER(B78)),"","|lc")</f>
        <v/>
      </c>
      <c r="N78" s="11">
        <f>IFERROR(MATCH(M78,Wires!$W$2:$W$1000,0),IFERROR(MATCH(M78,Wires!$X$2:$X$1000,0),""))</f>
        <v/>
      </c>
      <c r="O78" s="11">
        <f>IF(N78="","",IF(ISNUMBER(MATCH(M78,Wires!$W$2:$W$1000,0)),"from","to"))</f>
        <v/>
      </c>
    </row>
    <row r="79">
      <c r="A79" s="9" t="inlineStr">
        <is>
          <t>TSAL D2</t>
        </is>
      </c>
      <c r="B79" s="9" t="inlineStr">
        <is>
          <t>1</t>
        </is>
      </c>
      <c r="C79" s="9" t="inlineStr">
        <is>
          <t>GND</t>
        </is>
      </c>
      <c r="D79" s="9" t="inlineStr">
        <is>
          <t>GND</t>
        </is>
      </c>
      <c r="E79" s="9" t="inlineStr">
        <is>
          <t>0V</t>
        </is>
      </c>
      <c r="F79" s="11">
        <f>IF(N79="","",INDEX(Wires!$A$2:$A$1000,N79))</f>
        <v/>
      </c>
      <c r="G79" s="11">
        <f>IF(N79="","",INDEX(Wires!$C$2:$C$1000,N79))</f>
        <v/>
      </c>
      <c r="H79" s="11">
        <f>IF(N79="","",IF(O79="from",INDEX(Wires!$F$2:$F$1000,N79)&amp;":"&amp;INDEX(Wires!$G$2:$G$1000,N79),INDEX(Wires!$D$2:$D$1000,N79)&amp;":"&amp;INDEX(Wires!$E$2:$E$1000,N79)))</f>
        <v/>
      </c>
      <c r="I79" s="11">
        <f>IF(N79="","",INDEX(Wires!$H$2:$H$1000,N79)&amp;"")</f>
        <v/>
      </c>
      <c r="J79" s="11">
        <f>IF(N79="","",IF(INDEX(Wires!$I$2:$I$1000,N79)="","",INDEX(Wires!$I$2:$I$1000,N79)))</f>
        <v/>
      </c>
      <c r="K79" s="11">
        <f>COUNTIF(Wires!$W$2:$W$1000,M79)+COUNTIF(Wires!$X$2:$X$1000,M79)</f>
        <v/>
      </c>
      <c r="L79" s="11">
        <f>IF(AND(K79=0,C79&lt;&gt;"",D79&lt;&gt;"NC"),"pino com sinal mas sem fio; ","")&amp;IF(AND(D79="NC",K79&gt;0),"pino NC com fio; ","")&amp;IF(AND(K79&gt;1,ISERROR(MATCH(IFERROR(INDEX(Connectors!$D$2:$D$1000,MATCH(A79,Connectors!$A$2:$A$1000,0)),""),{"SPLICE","STUD"},0))),"vários fios no mesmo pino; ","")</f>
        <v/>
      </c>
      <c r="M79" s="11">
        <f>A79&amp;":"&amp;B79&amp;IF(EXACT(B79,UPPER(B79)),"","|lc")</f>
        <v/>
      </c>
      <c r="N79" s="11">
        <f>IFERROR(MATCH(M79,Wires!$W$2:$W$1000,0),IFERROR(MATCH(M79,Wires!$X$2:$X$1000,0),""))</f>
        <v/>
      </c>
      <c r="O79" s="11">
        <f>IF(N79="","",IF(ISNUMBER(MATCH(M79,Wires!$W$2:$W$1000,0)),"from","to"))</f>
        <v/>
      </c>
    </row>
    <row r="80">
      <c r="A80" s="9" t="inlineStr">
        <is>
          <t>TSAL D2</t>
        </is>
      </c>
      <c r="B80" s="9" t="inlineStr">
        <is>
          <t>2</t>
        </is>
      </c>
      <c r="C80" s="9" t="inlineStr">
        <is>
          <t>AIR+ Real</t>
        </is>
      </c>
      <c r="D80" s="9" t="inlineStr">
        <is>
          <t>IN</t>
        </is>
      </c>
      <c r="E80" s="9" t="inlineStr">
        <is>
          <t>12V</t>
        </is>
      </c>
      <c r="F80" s="11">
        <f>IF(N80="","",INDEX(Wires!$A$2:$A$1000,N80))</f>
        <v/>
      </c>
      <c r="G80" s="11">
        <f>IF(N80="","",INDEX(Wires!$C$2:$C$1000,N80))</f>
        <v/>
      </c>
      <c r="H80" s="11">
        <f>IF(N80="","",IF(O80="from",INDEX(Wires!$F$2:$F$1000,N80)&amp;":"&amp;INDEX(Wires!$G$2:$G$1000,N80),INDEX(Wires!$D$2:$D$1000,N80)&amp;":"&amp;INDEX(Wires!$E$2:$E$1000,N80)))</f>
        <v/>
      </c>
      <c r="I80" s="11">
        <f>IF(N80="","",INDEX(Wires!$H$2:$H$1000,N80)&amp;"")</f>
        <v/>
      </c>
      <c r="J80" s="11">
        <f>IF(N80="","",IF(INDEX(Wires!$I$2:$I$1000,N80)="","",INDEX(Wires!$I$2:$I$1000,N80)))</f>
        <v/>
      </c>
      <c r="K80" s="11">
        <f>COUNTIF(Wires!$W$2:$W$1000,M80)+COUNTIF(Wires!$X$2:$X$1000,M80)</f>
        <v/>
      </c>
      <c r="L80" s="11">
        <f>IF(AND(K80=0,C80&lt;&gt;"",D80&lt;&gt;"NC"),"pino com sinal mas sem fio; ","")&amp;IF(AND(D80="NC",K80&gt;0),"pino NC com fio; ","")&amp;IF(AND(K80&gt;1,ISERROR(MATCH(IFERROR(INDEX(Connectors!$D$2:$D$1000,MATCH(A80,Connectors!$A$2:$A$1000,0)),""),{"SPLICE","STUD"},0))),"vários fios no mesmo pino; ","")</f>
        <v/>
      </c>
      <c r="M80" s="11">
        <f>A80&amp;":"&amp;B80&amp;IF(EXACT(B80,UPPER(B80)),"","|lc")</f>
        <v/>
      </c>
      <c r="N80" s="11">
        <f>IFERROR(MATCH(M80,Wires!$W$2:$W$1000,0),IFERROR(MATCH(M80,Wires!$X$2:$X$1000,0),""))</f>
        <v/>
      </c>
      <c r="O80" s="11">
        <f>IF(N80="","",IF(ISNUMBER(MATCH(M80,Wires!$W$2:$W$1000,0)),"from","to"))</f>
        <v/>
      </c>
    </row>
    <row r="81">
      <c r="A81" s="9" t="inlineStr">
        <is>
          <t>TSAL D2</t>
        </is>
      </c>
      <c r="B81" s="9" t="inlineStr">
        <is>
          <t>3</t>
        </is>
      </c>
      <c r="C81" s="9" t="inlineStr">
        <is>
          <t>AIR+ Inten</t>
        </is>
      </c>
      <c r="D81" s="9" t="inlineStr">
        <is>
          <t>IN</t>
        </is>
      </c>
      <c r="E81" s="9" t="inlineStr">
        <is>
          <t>12V</t>
        </is>
      </c>
      <c r="F81" s="11">
        <f>IF(N81="","",INDEX(Wires!$A$2:$A$1000,N81))</f>
        <v/>
      </c>
      <c r="G81" s="11">
        <f>IF(N81="","",INDEX(Wires!$C$2:$C$1000,N81))</f>
        <v/>
      </c>
      <c r="H81" s="11">
        <f>IF(N81="","",IF(O81="from",INDEX(Wires!$F$2:$F$1000,N81)&amp;":"&amp;INDEX(Wires!$G$2:$G$1000,N81),INDEX(Wires!$D$2:$D$1000,N81)&amp;":"&amp;INDEX(Wires!$E$2:$E$1000,N81)))</f>
        <v/>
      </c>
      <c r="I81" s="11">
        <f>IF(N81="","",INDEX(Wires!$H$2:$H$1000,N81)&amp;"")</f>
        <v/>
      </c>
      <c r="J81" s="11">
        <f>IF(N81="","",IF(INDEX(Wires!$I$2:$I$1000,N81)="","",INDEX(Wires!$I$2:$I$1000,N81)))</f>
        <v/>
      </c>
      <c r="K81" s="11">
        <f>COUNTIF(Wires!$W$2:$W$1000,M81)+COUNTIF(Wires!$X$2:$X$1000,M81)</f>
        <v/>
      </c>
      <c r="L81" s="11">
        <f>IF(AND(K81=0,C81&lt;&gt;"",D81&lt;&gt;"NC"),"pino com sinal mas sem fio; ","")&amp;IF(AND(D81="NC",K81&gt;0),"pino NC com fio; ","")&amp;IF(AND(K81&gt;1,ISERROR(MATCH(IFERROR(INDEX(Connectors!$D$2:$D$1000,MATCH(A81,Connectors!$A$2:$A$1000,0)),""),{"SPLICE","STUD"},0))),"vários fios no mesmo pino; ","")</f>
        <v/>
      </c>
      <c r="M81" s="11">
        <f>A81&amp;":"&amp;B81&amp;IF(EXACT(B81,UPPER(B81)),"","|lc")</f>
        <v/>
      </c>
      <c r="N81" s="11">
        <f>IFERROR(MATCH(M81,Wires!$W$2:$W$1000,0),IFERROR(MATCH(M81,Wires!$X$2:$X$1000,0),""))</f>
        <v/>
      </c>
      <c r="O81" s="11">
        <f>IF(N81="","",IF(ISNUMBER(MATCH(M81,Wires!$W$2:$W$1000,0)),"from","to"))</f>
        <v/>
      </c>
    </row>
    <row r="82">
      <c r="A82" s="9" t="inlineStr">
        <is>
          <t>TSAL D2</t>
        </is>
      </c>
      <c r="B82" s="9" t="inlineStr">
        <is>
          <t>4</t>
        </is>
      </c>
      <c r="C82" s="9" t="inlineStr">
        <is>
          <t>AIR- Real</t>
        </is>
      </c>
      <c r="D82" s="9" t="inlineStr">
        <is>
          <t>IN</t>
        </is>
      </c>
      <c r="E82" s="9" t="inlineStr">
        <is>
          <t>12V</t>
        </is>
      </c>
      <c r="F82" s="11">
        <f>IF(N82="","",INDEX(Wires!$A$2:$A$1000,N82))</f>
        <v/>
      </c>
      <c r="G82" s="11">
        <f>IF(N82="","",INDEX(Wires!$C$2:$C$1000,N82))</f>
        <v/>
      </c>
      <c r="H82" s="11">
        <f>IF(N82="","",IF(O82="from",INDEX(Wires!$F$2:$F$1000,N82)&amp;":"&amp;INDEX(Wires!$G$2:$G$1000,N82),INDEX(Wires!$D$2:$D$1000,N82)&amp;":"&amp;INDEX(Wires!$E$2:$E$1000,N82)))</f>
        <v/>
      </c>
      <c r="I82" s="11">
        <f>IF(N82="","",INDEX(Wires!$H$2:$H$1000,N82)&amp;"")</f>
        <v/>
      </c>
      <c r="J82" s="11">
        <f>IF(N82="","",IF(INDEX(Wires!$I$2:$I$1000,N82)="","",INDEX(Wires!$I$2:$I$1000,N82)))</f>
        <v/>
      </c>
      <c r="K82" s="11">
        <f>COUNTIF(Wires!$W$2:$W$1000,M82)+COUNTIF(Wires!$X$2:$X$1000,M82)</f>
        <v/>
      </c>
      <c r="L82" s="11">
        <f>IF(AND(K82=0,C82&lt;&gt;"",D82&lt;&gt;"NC"),"pino com sinal mas sem fio; ","")&amp;IF(AND(D82="NC",K82&gt;0),"pino NC com fio; ","")&amp;IF(AND(K82&gt;1,ISERROR(MATCH(IFERROR(INDEX(Connectors!$D$2:$D$1000,MATCH(A82,Connectors!$A$2:$A$1000,0)),""),{"SPLICE","STUD"},0))),"vários fios no mesmo pino; ","")</f>
        <v/>
      </c>
      <c r="M82" s="11">
        <f>A82&amp;":"&amp;B82&amp;IF(EXACT(B82,UPPER(B82)),"","|lc")</f>
        <v/>
      </c>
      <c r="N82" s="11">
        <f>IFERROR(MATCH(M82,Wires!$W$2:$W$1000,0),IFERROR(MATCH(M82,Wires!$X$2:$X$1000,0),""))</f>
        <v/>
      </c>
      <c r="O82" s="11">
        <f>IF(N82="","",IF(ISNUMBER(MATCH(M82,Wires!$W$2:$W$1000,0)),"from","to"))</f>
        <v/>
      </c>
    </row>
    <row r="83">
      <c r="A83" s="9" t="inlineStr">
        <is>
          <t>TSAL D2</t>
        </is>
      </c>
      <c r="B83" s="9" t="inlineStr">
        <is>
          <t>5</t>
        </is>
      </c>
      <c r="C83" s="9" t="inlineStr">
        <is>
          <t>AIR - Inten</t>
        </is>
      </c>
      <c r="D83" s="9" t="inlineStr">
        <is>
          <t>IN</t>
        </is>
      </c>
      <c r="E83" s="9" t="inlineStr">
        <is>
          <t>12V</t>
        </is>
      </c>
      <c r="F83" s="11">
        <f>IF(N83="","",INDEX(Wires!$A$2:$A$1000,N83))</f>
        <v/>
      </c>
      <c r="G83" s="11">
        <f>IF(N83="","",INDEX(Wires!$C$2:$C$1000,N83))</f>
        <v/>
      </c>
      <c r="H83" s="11">
        <f>IF(N83="","",IF(O83="from",INDEX(Wires!$F$2:$F$1000,N83)&amp;":"&amp;INDEX(Wires!$G$2:$G$1000,N83),INDEX(Wires!$D$2:$D$1000,N83)&amp;":"&amp;INDEX(Wires!$E$2:$E$1000,N83)))</f>
        <v/>
      </c>
      <c r="I83" s="11">
        <f>IF(N83="","",INDEX(Wires!$H$2:$H$1000,N83)&amp;"")</f>
        <v/>
      </c>
      <c r="J83" s="11">
        <f>IF(N83="","",IF(INDEX(Wires!$I$2:$I$1000,N83)="","",INDEX(Wires!$I$2:$I$1000,N83)))</f>
        <v/>
      </c>
      <c r="K83" s="11">
        <f>COUNTIF(Wires!$W$2:$W$1000,M83)+COUNTIF(Wires!$X$2:$X$1000,M83)</f>
        <v/>
      </c>
      <c r="L83" s="11">
        <f>IF(AND(K83=0,C83&lt;&gt;"",D83&lt;&gt;"NC"),"pino com sinal mas sem fio; ","")&amp;IF(AND(D83="NC",K83&gt;0),"pino NC com fio; ","")&amp;IF(AND(K83&gt;1,ISERROR(MATCH(IFERROR(INDEX(Connectors!$D$2:$D$1000,MATCH(A83,Connectors!$A$2:$A$1000,0)),""),{"SPLICE","STUD"},0))),"vários fios no mesmo pino; ","")</f>
        <v/>
      </c>
      <c r="M83" s="11">
        <f>A83&amp;":"&amp;B83&amp;IF(EXACT(B83,UPPER(B83)),"","|lc")</f>
        <v/>
      </c>
      <c r="N83" s="11">
        <f>IFERROR(MATCH(M83,Wires!$W$2:$W$1000,0),IFERROR(MATCH(M83,Wires!$X$2:$X$1000,0),""))</f>
        <v/>
      </c>
      <c r="O83" s="11">
        <f>IF(N83="","",IF(ISNUMBER(MATCH(M83,Wires!$W$2:$W$1000,0)),"from","to"))</f>
        <v/>
      </c>
    </row>
    <row r="84">
      <c r="A84" s="9" t="inlineStr">
        <is>
          <t>TSAL D2</t>
        </is>
      </c>
      <c r="B84" s="9" t="inlineStr">
        <is>
          <t>6</t>
        </is>
      </c>
      <c r="C84" s="9" t="inlineStr">
        <is>
          <t>+24V</t>
        </is>
      </c>
      <c r="D84" s="9" t="inlineStr">
        <is>
          <t>VCC</t>
        </is>
      </c>
      <c r="E84" s="9" t="inlineStr">
        <is>
          <t>24V</t>
        </is>
      </c>
      <c r="F84" s="11">
        <f>IF(N84="","",INDEX(Wires!$A$2:$A$1000,N84))</f>
        <v/>
      </c>
      <c r="G84" s="11">
        <f>IF(N84="","",INDEX(Wires!$C$2:$C$1000,N84))</f>
        <v/>
      </c>
      <c r="H84" s="11">
        <f>IF(N84="","",IF(O84="from",INDEX(Wires!$F$2:$F$1000,N84)&amp;":"&amp;INDEX(Wires!$G$2:$G$1000,N84),INDEX(Wires!$D$2:$D$1000,N84)&amp;":"&amp;INDEX(Wires!$E$2:$E$1000,N84)))</f>
        <v/>
      </c>
      <c r="I84" s="11">
        <f>IF(N84="","",INDEX(Wires!$H$2:$H$1000,N84)&amp;"")</f>
        <v/>
      </c>
      <c r="J84" s="11">
        <f>IF(N84="","",IF(INDEX(Wires!$I$2:$I$1000,N84)="","",INDEX(Wires!$I$2:$I$1000,N84)))</f>
        <v/>
      </c>
      <c r="K84" s="11">
        <f>COUNTIF(Wires!$W$2:$W$1000,M84)+COUNTIF(Wires!$X$2:$X$1000,M84)</f>
        <v/>
      </c>
      <c r="L84" s="11">
        <f>IF(AND(K84=0,C84&lt;&gt;"",D84&lt;&gt;"NC"),"pino com sinal mas sem fio; ","")&amp;IF(AND(D84="NC",K84&gt;0),"pino NC com fio; ","")&amp;IF(AND(K84&gt;1,ISERROR(MATCH(IFERROR(INDEX(Connectors!$D$2:$D$1000,MATCH(A84,Connectors!$A$2:$A$1000,0)),""),{"SPLICE","STUD"},0))),"vários fios no mesmo pino; ","")</f>
        <v/>
      </c>
      <c r="M84" s="11">
        <f>A84&amp;":"&amp;B84&amp;IF(EXACT(B84,UPPER(B84)),"","|lc")</f>
        <v/>
      </c>
      <c r="N84" s="11">
        <f>IFERROR(MATCH(M84,Wires!$W$2:$W$1000,0),IFERROR(MATCH(M84,Wires!$X$2:$X$1000,0),""))</f>
        <v/>
      </c>
      <c r="O84" s="11">
        <f>IF(N84="","",IF(ISNUMBER(MATCH(M84,Wires!$W$2:$W$1000,0)),"from","to"))</f>
        <v/>
      </c>
    </row>
    <row r="85">
      <c r="A85" s="9" t="inlineStr">
        <is>
          <t>TSAL D2</t>
        </is>
      </c>
      <c r="B85" s="9" t="inlineStr">
        <is>
          <t>7</t>
        </is>
      </c>
      <c r="C85" s="9" t="inlineStr">
        <is>
          <t>Pre Real</t>
        </is>
      </c>
      <c r="D85" s="9" t="inlineStr">
        <is>
          <t>IN</t>
        </is>
      </c>
      <c r="E85" s="9" t="inlineStr">
        <is>
          <t>12V</t>
        </is>
      </c>
      <c r="F85" s="11">
        <f>IF(N85="","",INDEX(Wires!$A$2:$A$1000,N85))</f>
        <v/>
      </c>
      <c r="G85" s="11">
        <f>IF(N85="","",INDEX(Wires!$C$2:$C$1000,N85))</f>
        <v/>
      </c>
      <c r="H85" s="11">
        <f>IF(N85="","",IF(O85="from",INDEX(Wires!$F$2:$F$1000,N85)&amp;":"&amp;INDEX(Wires!$G$2:$G$1000,N85),INDEX(Wires!$D$2:$D$1000,N85)&amp;":"&amp;INDEX(Wires!$E$2:$E$1000,N85)))</f>
        <v/>
      </c>
      <c r="I85" s="11">
        <f>IF(N85="","",INDEX(Wires!$H$2:$H$1000,N85)&amp;"")</f>
        <v/>
      </c>
      <c r="J85" s="11">
        <f>IF(N85="","",IF(INDEX(Wires!$I$2:$I$1000,N85)="","",INDEX(Wires!$I$2:$I$1000,N85)))</f>
        <v/>
      </c>
      <c r="K85" s="11">
        <f>COUNTIF(Wires!$W$2:$W$1000,M85)+COUNTIF(Wires!$X$2:$X$1000,M85)</f>
        <v/>
      </c>
      <c r="L85" s="11">
        <f>IF(AND(K85=0,C85&lt;&gt;"",D85&lt;&gt;"NC"),"pino com sinal mas sem fio; ","")&amp;IF(AND(D85="NC",K85&gt;0),"pino NC com fio; ","")&amp;IF(AND(K85&gt;1,ISERROR(MATCH(IFERROR(INDEX(Connectors!$D$2:$D$1000,MATCH(A85,Connectors!$A$2:$A$1000,0)),""),{"SPLICE","STUD"},0))),"vários fios no mesmo pino; ","")</f>
        <v/>
      </c>
      <c r="M85" s="11">
        <f>A85&amp;":"&amp;B85&amp;IF(EXACT(B85,UPPER(B85)),"","|lc")</f>
        <v/>
      </c>
      <c r="N85" s="11">
        <f>IFERROR(MATCH(M85,Wires!$W$2:$W$1000,0),IFERROR(MATCH(M85,Wires!$X$2:$X$1000,0),""))</f>
        <v/>
      </c>
      <c r="O85" s="11">
        <f>IF(N85="","",IF(ISNUMBER(MATCH(M85,Wires!$W$2:$W$1000,0)),"from","to"))</f>
        <v/>
      </c>
    </row>
    <row r="86">
      <c r="A86" s="9" t="inlineStr">
        <is>
          <t>TSAL D2</t>
        </is>
      </c>
      <c r="B86" s="9" t="inlineStr">
        <is>
          <t>8</t>
        </is>
      </c>
      <c r="C86" s="9" t="inlineStr">
        <is>
          <t>Green 1</t>
        </is>
      </c>
      <c r="D86" s="9" t="inlineStr">
        <is>
          <t>OUT</t>
        </is>
      </c>
      <c r="E86" s="9" t="inlineStr">
        <is>
          <t>3.3V</t>
        </is>
      </c>
      <c r="F86" s="11">
        <f>IF(N86="","",INDEX(Wires!$A$2:$A$1000,N86))</f>
        <v/>
      </c>
      <c r="G86" s="11">
        <f>IF(N86="","",INDEX(Wires!$C$2:$C$1000,N86))</f>
        <v/>
      </c>
      <c r="H86" s="11">
        <f>IF(N86="","",IF(O86="from",INDEX(Wires!$F$2:$F$1000,N86)&amp;":"&amp;INDEX(Wires!$G$2:$G$1000,N86),INDEX(Wires!$D$2:$D$1000,N86)&amp;":"&amp;INDEX(Wires!$E$2:$E$1000,N86)))</f>
        <v/>
      </c>
      <c r="I86" s="11">
        <f>IF(N86="","",INDEX(Wires!$H$2:$H$1000,N86)&amp;"")</f>
        <v/>
      </c>
      <c r="J86" s="11">
        <f>IF(N86="","",IF(INDEX(Wires!$I$2:$I$1000,N86)="","",INDEX(Wires!$I$2:$I$1000,N86)))</f>
        <v/>
      </c>
      <c r="K86" s="11">
        <f>COUNTIF(Wires!$W$2:$W$1000,M86)+COUNTIF(Wires!$X$2:$X$1000,M86)</f>
        <v/>
      </c>
      <c r="L86" s="11">
        <f>IF(AND(K86=0,C86&lt;&gt;"",D86&lt;&gt;"NC"),"pino com sinal mas sem fio; ","")&amp;IF(AND(D86="NC",K86&gt;0),"pino NC com fio; ","")&amp;IF(AND(K86&gt;1,ISERROR(MATCH(IFERROR(INDEX(Connectors!$D$2:$D$1000,MATCH(A86,Connectors!$A$2:$A$1000,0)),""),{"SPLICE","STUD"},0))),"vários fios no mesmo pino; ","")</f>
        <v/>
      </c>
      <c r="M86" s="11">
        <f>A86&amp;":"&amp;B86&amp;IF(EXACT(B86,UPPER(B86)),"","|lc")</f>
        <v/>
      </c>
      <c r="N86" s="11">
        <f>IFERROR(MATCH(M86,Wires!$W$2:$W$1000,0),IFERROR(MATCH(M86,Wires!$X$2:$X$1000,0),""))</f>
        <v/>
      </c>
      <c r="O86" s="11">
        <f>IF(N86="","",IF(ISNUMBER(MATCH(M86,Wires!$W$2:$W$1000,0)),"from","to"))</f>
        <v/>
      </c>
    </row>
    <row r="87">
      <c r="A87" s="9" t="inlineStr">
        <is>
          <t>TSAL D2</t>
        </is>
      </c>
      <c r="B87" s="9" t="inlineStr">
        <is>
          <t>9</t>
        </is>
      </c>
      <c r="C87" s="9" t="n"/>
      <c r="D87" s="9" t="inlineStr">
        <is>
          <t>NC</t>
        </is>
      </c>
      <c r="E87" s="9" t="n"/>
      <c r="F87" s="11">
        <f>IF(N87="","",INDEX(Wires!$A$2:$A$1000,N87))</f>
        <v/>
      </c>
      <c r="G87" s="11">
        <f>IF(N87="","",INDEX(Wires!$C$2:$C$1000,N87))</f>
        <v/>
      </c>
      <c r="H87" s="11">
        <f>IF(N87="","",IF(O87="from",INDEX(Wires!$F$2:$F$1000,N87)&amp;":"&amp;INDEX(Wires!$G$2:$G$1000,N87),INDEX(Wires!$D$2:$D$1000,N87)&amp;":"&amp;INDEX(Wires!$E$2:$E$1000,N87)))</f>
        <v/>
      </c>
      <c r="I87" s="11">
        <f>IF(N87="","",INDEX(Wires!$H$2:$H$1000,N87)&amp;"")</f>
        <v/>
      </c>
      <c r="J87" s="11">
        <f>IF(N87="","",IF(INDEX(Wires!$I$2:$I$1000,N87)="","",INDEX(Wires!$I$2:$I$1000,N87)))</f>
        <v/>
      </c>
      <c r="K87" s="11">
        <f>COUNTIF(Wires!$W$2:$W$1000,M87)+COUNTIF(Wires!$X$2:$X$1000,M87)</f>
        <v/>
      </c>
      <c r="L87" s="11">
        <f>IF(AND(K87=0,C87&lt;&gt;"",D87&lt;&gt;"NC"),"pino com sinal mas sem fio; ","")&amp;IF(AND(D87="NC",K87&gt;0),"pino NC com fio; ","")&amp;IF(AND(K87&gt;1,ISERROR(MATCH(IFERROR(INDEX(Connectors!$D$2:$D$1000,MATCH(A87,Connectors!$A$2:$A$1000,0)),""),{"SPLICE","STUD"},0))),"vários fios no mesmo pino; ","")</f>
        <v/>
      </c>
      <c r="M87" s="11">
        <f>A87&amp;":"&amp;B87&amp;IF(EXACT(B87,UPPER(B87)),"","|lc")</f>
        <v/>
      </c>
      <c r="N87" s="11">
        <f>IFERROR(MATCH(M87,Wires!$W$2:$W$1000,0),IFERROR(MATCH(M87,Wires!$X$2:$X$1000,0),""))</f>
        <v/>
      </c>
      <c r="O87" s="11">
        <f>IF(N87="","",IF(ISNUMBER(MATCH(M87,Wires!$W$2:$W$1000,0)),"from","to"))</f>
        <v/>
      </c>
    </row>
    <row r="88">
      <c r="A88" s="9" t="inlineStr">
        <is>
          <t>TSAL D2</t>
        </is>
      </c>
      <c r="B88" s="9" t="inlineStr">
        <is>
          <t>10</t>
        </is>
      </c>
      <c r="C88" s="9" t="inlineStr">
        <is>
          <t>Green C</t>
        </is>
      </c>
      <c r="D88" s="9" t="inlineStr">
        <is>
          <t>OUT</t>
        </is>
      </c>
      <c r="E88" s="9" t="inlineStr">
        <is>
          <t>3.3V</t>
        </is>
      </c>
      <c r="F88" s="11">
        <f>IF(N88="","",INDEX(Wires!$A$2:$A$1000,N88))</f>
        <v/>
      </c>
      <c r="G88" s="11">
        <f>IF(N88="","",INDEX(Wires!$C$2:$C$1000,N88))</f>
        <v/>
      </c>
      <c r="H88" s="11">
        <f>IF(N88="","",IF(O88="from",INDEX(Wires!$F$2:$F$1000,N88)&amp;":"&amp;INDEX(Wires!$G$2:$G$1000,N88),INDEX(Wires!$D$2:$D$1000,N88)&amp;":"&amp;INDEX(Wires!$E$2:$E$1000,N88)))</f>
        <v/>
      </c>
      <c r="I88" s="11">
        <f>IF(N88="","",INDEX(Wires!$H$2:$H$1000,N88)&amp;"")</f>
        <v/>
      </c>
      <c r="J88" s="11">
        <f>IF(N88="","",IF(INDEX(Wires!$I$2:$I$1000,N88)="","",INDEX(Wires!$I$2:$I$1000,N88)))</f>
        <v/>
      </c>
      <c r="K88" s="11">
        <f>COUNTIF(Wires!$W$2:$W$1000,M88)+COUNTIF(Wires!$X$2:$X$1000,M88)</f>
        <v/>
      </c>
      <c r="L88" s="11">
        <f>IF(AND(K88=0,C88&lt;&gt;"",D88&lt;&gt;"NC"),"pino com sinal mas sem fio; ","")&amp;IF(AND(D88="NC",K88&gt;0),"pino NC com fio; ","")&amp;IF(AND(K88&gt;1,ISERROR(MATCH(IFERROR(INDEX(Connectors!$D$2:$D$1000,MATCH(A88,Connectors!$A$2:$A$1000,0)),""),{"SPLICE","STUD"},0))),"vários fios no mesmo pino; ","")</f>
        <v/>
      </c>
      <c r="M88" s="11">
        <f>A88&amp;":"&amp;B88&amp;IF(EXACT(B88,UPPER(B88)),"","|lc")</f>
        <v/>
      </c>
      <c r="N88" s="11">
        <f>IFERROR(MATCH(M88,Wires!$W$2:$W$1000,0),IFERROR(MATCH(M88,Wires!$X$2:$X$1000,0),""))</f>
        <v/>
      </c>
      <c r="O88" s="11">
        <f>IF(N88="","",IF(ISNUMBER(MATCH(M88,Wires!$W$2:$W$1000,0)),"from","to"))</f>
        <v/>
      </c>
    </row>
    <row r="89">
      <c r="A89" s="9" t="inlineStr">
        <is>
          <t>TSAL D2</t>
        </is>
      </c>
      <c r="B89" s="9" t="inlineStr">
        <is>
          <t>11</t>
        </is>
      </c>
      <c r="C89" s="9" t="inlineStr">
        <is>
          <t>Pre Inten</t>
        </is>
      </c>
      <c r="D89" s="9" t="inlineStr">
        <is>
          <t>IN</t>
        </is>
      </c>
      <c r="E89" s="9" t="inlineStr">
        <is>
          <t>12V</t>
        </is>
      </c>
      <c r="F89" s="11">
        <f>IF(N89="","",INDEX(Wires!$A$2:$A$1000,N89))</f>
        <v/>
      </c>
      <c r="G89" s="11">
        <f>IF(N89="","",INDEX(Wires!$C$2:$C$1000,N89))</f>
        <v/>
      </c>
      <c r="H89" s="11">
        <f>IF(N89="","",IF(O89="from",INDEX(Wires!$F$2:$F$1000,N89)&amp;":"&amp;INDEX(Wires!$G$2:$G$1000,N89),INDEX(Wires!$D$2:$D$1000,N89)&amp;":"&amp;INDEX(Wires!$E$2:$E$1000,N89)))</f>
        <v/>
      </c>
      <c r="I89" s="11">
        <f>IF(N89="","",INDEX(Wires!$H$2:$H$1000,N89)&amp;"")</f>
        <v/>
      </c>
      <c r="J89" s="11">
        <f>IF(N89="","",IF(INDEX(Wires!$I$2:$I$1000,N89)="","",INDEX(Wires!$I$2:$I$1000,N89)))</f>
        <v/>
      </c>
      <c r="K89" s="11">
        <f>COUNTIF(Wires!$W$2:$W$1000,M89)+COUNTIF(Wires!$X$2:$X$1000,M89)</f>
        <v/>
      </c>
      <c r="L89" s="11">
        <f>IF(AND(K89=0,C89&lt;&gt;"",D89&lt;&gt;"NC"),"pino com sinal mas sem fio; ","")&amp;IF(AND(D89="NC",K89&gt;0),"pino NC com fio; ","")&amp;IF(AND(K89&gt;1,ISERROR(MATCH(IFERROR(INDEX(Connectors!$D$2:$D$1000,MATCH(A89,Connectors!$A$2:$A$1000,0)),""),{"SPLICE","STUD"},0))),"vários fios no mesmo pino; ","")</f>
        <v/>
      </c>
      <c r="M89" s="11">
        <f>A89&amp;":"&amp;B89&amp;IF(EXACT(B89,UPPER(B89)),"","|lc")</f>
        <v/>
      </c>
      <c r="N89" s="11">
        <f>IFERROR(MATCH(M89,Wires!$W$2:$W$1000,0),IFERROR(MATCH(M89,Wires!$X$2:$X$1000,0),""))</f>
        <v/>
      </c>
      <c r="O89" s="11">
        <f>IF(N89="","",IF(ISNUMBER(MATCH(M89,Wires!$W$2:$W$1000,0)),"from","to"))</f>
        <v/>
      </c>
    </row>
    <row r="90">
      <c r="A90" s="9" t="inlineStr">
        <is>
          <t>TSAL D2</t>
        </is>
      </c>
      <c r="B90" s="9" t="inlineStr">
        <is>
          <t>12</t>
        </is>
      </c>
      <c r="C90" s="9" t="n"/>
      <c r="D90" s="9" t="inlineStr">
        <is>
          <t>NC</t>
        </is>
      </c>
      <c r="E90" s="9" t="n"/>
      <c r="F90" s="11">
        <f>IF(N90="","",INDEX(Wires!$A$2:$A$1000,N90))</f>
        <v/>
      </c>
      <c r="G90" s="11">
        <f>IF(N90="","",INDEX(Wires!$C$2:$C$1000,N90))</f>
        <v/>
      </c>
      <c r="H90" s="11">
        <f>IF(N90="","",IF(O90="from",INDEX(Wires!$F$2:$F$1000,N90)&amp;":"&amp;INDEX(Wires!$G$2:$G$1000,N90),INDEX(Wires!$D$2:$D$1000,N90)&amp;":"&amp;INDEX(Wires!$E$2:$E$1000,N90)))</f>
        <v/>
      </c>
      <c r="I90" s="11">
        <f>IF(N90="","",INDEX(Wires!$H$2:$H$1000,N90)&amp;"")</f>
        <v/>
      </c>
      <c r="J90" s="11">
        <f>IF(N90="","",IF(INDEX(Wires!$I$2:$I$1000,N90)="","",INDEX(Wires!$I$2:$I$1000,N90)))</f>
        <v/>
      </c>
      <c r="K90" s="11">
        <f>COUNTIF(Wires!$W$2:$W$1000,M90)+COUNTIF(Wires!$X$2:$X$1000,M90)</f>
        <v/>
      </c>
      <c r="L90" s="11">
        <f>IF(AND(K90=0,C90&lt;&gt;"",D90&lt;&gt;"NC"),"pino com sinal mas sem fio; ","")&amp;IF(AND(D90="NC",K90&gt;0),"pino NC com fio; ","")&amp;IF(AND(K90&gt;1,ISERROR(MATCH(IFERROR(INDEX(Connectors!$D$2:$D$1000,MATCH(A90,Connectors!$A$2:$A$1000,0)),""),{"SPLICE","STUD"},0))),"vários fios no mesmo pino; ","")</f>
        <v/>
      </c>
      <c r="M90" s="11">
        <f>A90&amp;":"&amp;B90&amp;IF(EXACT(B90,UPPER(B90)),"","|lc")</f>
        <v/>
      </c>
      <c r="N90" s="11">
        <f>IFERROR(MATCH(M90,Wires!$W$2:$W$1000,0),IFERROR(MATCH(M90,Wires!$X$2:$X$1000,0),""))</f>
        <v/>
      </c>
      <c r="O90" s="11">
        <f>IF(N90="","",IF(ISNUMBER(MATCH(M90,Wires!$W$2:$W$1000,0)),"from","to"))</f>
        <v/>
      </c>
    </row>
    <row r="91">
      <c r="A91" s="9" t="inlineStr">
        <is>
          <t>LATCH J1</t>
        </is>
      </c>
      <c r="B91" s="9" t="inlineStr">
        <is>
          <t>1</t>
        </is>
      </c>
      <c r="C91" s="9" t="inlineStr">
        <is>
          <t>AMS S</t>
        </is>
      </c>
      <c r="D91" s="9" t="inlineStr">
        <is>
          <t>IN</t>
        </is>
      </c>
      <c r="E91" s="9" t="inlineStr">
        <is>
          <t>24V</t>
        </is>
      </c>
      <c r="F91" s="11">
        <f>IF(N91="","",INDEX(Wires!$A$2:$A$1000,N91))</f>
        <v/>
      </c>
      <c r="G91" s="11">
        <f>IF(N91="","",INDEX(Wires!$C$2:$C$1000,N91))</f>
        <v/>
      </c>
      <c r="H91" s="11">
        <f>IF(N91="","",IF(O91="from",INDEX(Wires!$F$2:$F$1000,N91)&amp;":"&amp;INDEX(Wires!$G$2:$G$1000,N91),INDEX(Wires!$D$2:$D$1000,N91)&amp;":"&amp;INDEX(Wires!$E$2:$E$1000,N91)))</f>
        <v/>
      </c>
      <c r="I91" s="11">
        <f>IF(N91="","",INDEX(Wires!$H$2:$H$1000,N91)&amp;"")</f>
        <v/>
      </c>
      <c r="J91" s="11">
        <f>IF(N91="","",IF(INDEX(Wires!$I$2:$I$1000,N91)="","",INDEX(Wires!$I$2:$I$1000,N91)))</f>
        <v/>
      </c>
      <c r="K91" s="11">
        <f>COUNTIF(Wires!$W$2:$W$1000,M91)+COUNTIF(Wires!$X$2:$X$1000,M91)</f>
        <v/>
      </c>
      <c r="L91" s="11">
        <f>IF(AND(K91=0,C91&lt;&gt;"",D91&lt;&gt;"NC"),"pino com sinal mas sem fio; ","")&amp;IF(AND(D91="NC",K91&gt;0),"pino NC com fio; ","")&amp;IF(AND(K91&gt;1,ISERROR(MATCH(IFERROR(INDEX(Connectors!$D$2:$D$1000,MATCH(A91,Connectors!$A$2:$A$1000,0)),""),{"SPLICE","STUD"},0))),"vários fios no mesmo pino; ","")</f>
        <v/>
      </c>
      <c r="M91" s="11">
        <f>A91&amp;":"&amp;B91&amp;IF(EXACT(B91,UPPER(B91)),"","|lc")</f>
        <v/>
      </c>
      <c r="N91" s="11">
        <f>IFERROR(MATCH(M91,Wires!$W$2:$W$1000,0),IFERROR(MATCH(M91,Wires!$X$2:$X$1000,0),""))</f>
        <v/>
      </c>
      <c r="O91" s="11">
        <f>IF(N91="","",IF(ISNUMBER(MATCH(M91,Wires!$W$2:$W$1000,0)),"from","to"))</f>
        <v/>
      </c>
    </row>
    <row r="92">
      <c r="A92" s="9" t="inlineStr">
        <is>
          <t>LATCH J1</t>
        </is>
      </c>
      <c r="B92" s="9" t="inlineStr">
        <is>
          <t>2</t>
        </is>
      </c>
      <c r="C92" s="9" t="inlineStr">
        <is>
          <t>Reset</t>
        </is>
      </c>
      <c r="D92" s="9" t="inlineStr">
        <is>
          <t>IN</t>
        </is>
      </c>
      <c r="E92" s="9" t="inlineStr">
        <is>
          <t>24V</t>
        </is>
      </c>
      <c r="F92" s="11">
        <f>IF(N92="","",INDEX(Wires!$A$2:$A$1000,N92))</f>
        <v/>
      </c>
      <c r="G92" s="11">
        <f>IF(N92="","",INDEX(Wires!$C$2:$C$1000,N92))</f>
        <v/>
      </c>
      <c r="H92" s="11">
        <f>IF(N92="","",IF(O92="from",INDEX(Wires!$F$2:$F$1000,N92)&amp;":"&amp;INDEX(Wires!$G$2:$G$1000,N92),INDEX(Wires!$D$2:$D$1000,N92)&amp;":"&amp;INDEX(Wires!$E$2:$E$1000,N92)))</f>
        <v/>
      </c>
      <c r="I92" s="11">
        <f>IF(N92="","",INDEX(Wires!$H$2:$H$1000,N92)&amp;"")</f>
        <v/>
      </c>
      <c r="J92" s="11">
        <f>IF(N92="","",IF(INDEX(Wires!$I$2:$I$1000,N92)="","",INDEX(Wires!$I$2:$I$1000,N92)))</f>
        <v/>
      </c>
      <c r="K92" s="11">
        <f>COUNTIF(Wires!$W$2:$W$1000,M92)+COUNTIF(Wires!$X$2:$X$1000,M92)</f>
        <v/>
      </c>
      <c r="L92" s="11">
        <f>IF(AND(K92=0,C92&lt;&gt;"",D92&lt;&gt;"NC"),"pino com sinal mas sem fio; ","")&amp;IF(AND(D92="NC",K92&gt;0),"pino NC com fio; ","")&amp;IF(AND(K92&gt;1,ISERROR(MATCH(IFERROR(INDEX(Connectors!$D$2:$D$1000,MATCH(A92,Connectors!$A$2:$A$1000,0)),""),{"SPLICE","STUD"},0))),"vários fios no mesmo pino; ","")</f>
        <v/>
      </c>
      <c r="M92" s="11">
        <f>A92&amp;":"&amp;B92&amp;IF(EXACT(B92,UPPER(B92)),"","|lc")</f>
        <v/>
      </c>
      <c r="N92" s="11">
        <f>IFERROR(MATCH(M92,Wires!$W$2:$W$1000,0),IFERROR(MATCH(M92,Wires!$X$2:$X$1000,0),""))</f>
        <v/>
      </c>
      <c r="O92" s="11">
        <f>IF(N92="","",IF(ISNUMBER(MATCH(M92,Wires!$W$2:$W$1000,0)),"from","to"))</f>
        <v/>
      </c>
    </row>
    <row r="93">
      <c r="A93" s="9" t="inlineStr">
        <is>
          <t>LATCH J1</t>
        </is>
      </c>
      <c r="B93" s="9" t="inlineStr">
        <is>
          <t>3</t>
        </is>
      </c>
      <c r="C93" s="9" t="inlineStr">
        <is>
          <t>IMD S</t>
        </is>
      </c>
      <c r="D93" s="9" t="inlineStr">
        <is>
          <t>IN</t>
        </is>
      </c>
      <c r="E93" s="9" t="inlineStr">
        <is>
          <t>24V</t>
        </is>
      </c>
      <c r="F93" s="11">
        <f>IF(N93="","",INDEX(Wires!$A$2:$A$1000,N93))</f>
        <v/>
      </c>
      <c r="G93" s="11">
        <f>IF(N93="","",INDEX(Wires!$C$2:$C$1000,N93))</f>
        <v/>
      </c>
      <c r="H93" s="11">
        <f>IF(N93="","",IF(O93="from",INDEX(Wires!$F$2:$F$1000,N93)&amp;":"&amp;INDEX(Wires!$G$2:$G$1000,N93),INDEX(Wires!$D$2:$D$1000,N93)&amp;":"&amp;INDEX(Wires!$E$2:$E$1000,N93)))</f>
        <v/>
      </c>
      <c r="I93" s="11">
        <f>IF(N93="","",INDEX(Wires!$H$2:$H$1000,N93)&amp;"")</f>
        <v/>
      </c>
      <c r="J93" s="11">
        <f>IF(N93="","",IF(INDEX(Wires!$I$2:$I$1000,N93)="","",INDEX(Wires!$I$2:$I$1000,N93)))</f>
        <v/>
      </c>
      <c r="K93" s="11">
        <f>COUNTIF(Wires!$W$2:$W$1000,M93)+COUNTIF(Wires!$X$2:$X$1000,M93)</f>
        <v/>
      </c>
      <c r="L93" s="11">
        <f>IF(AND(K93=0,C93&lt;&gt;"",D93&lt;&gt;"NC"),"pino com sinal mas sem fio; ","")&amp;IF(AND(D93="NC",K93&gt;0),"pino NC com fio; ","")&amp;IF(AND(K93&gt;1,ISERROR(MATCH(IFERROR(INDEX(Connectors!$D$2:$D$1000,MATCH(A93,Connectors!$A$2:$A$1000,0)),""),{"SPLICE","STUD"},0))),"vários fios no mesmo pino; ","")</f>
        <v/>
      </c>
      <c r="M93" s="11">
        <f>A93&amp;":"&amp;B93&amp;IF(EXACT(B93,UPPER(B93)),"","|lc")</f>
        <v/>
      </c>
      <c r="N93" s="11">
        <f>IFERROR(MATCH(M93,Wires!$W$2:$W$1000,0),IFERROR(MATCH(M93,Wires!$X$2:$X$1000,0),""))</f>
        <v/>
      </c>
      <c r="O93" s="11">
        <f>IF(N93="","",IF(ISNUMBER(MATCH(M93,Wires!$W$2:$W$1000,0)),"from","to"))</f>
        <v/>
      </c>
    </row>
    <row r="94">
      <c r="A94" s="9" t="inlineStr">
        <is>
          <t>LATCH J1</t>
        </is>
      </c>
      <c r="B94" s="9" t="inlineStr">
        <is>
          <t>4</t>
        </is>
      </c>
      <c r="C94" s="9" t="n"/>
      <c r="D94" s="9" t="inlineStr">
        <is>
          <t>NC</t>
        </is>
      </c>
      <c r="E94" s="9" t="n"/>
      <c r="F94" s="11">
        <f>IF(N94="","",INDEX(Wires!$A$2:$A$1000,N94))</f>
        <v/>
      </c>
      <c r="G94" s="11">
        <f>IF(N94="","",INDEX(Wires!$C$2:$C$1000,N94))</f>
        <v/>
      </c>
      <c r="H94" s="11">
        <f>IF(N94="","",IF(O94="from",INDEX(Wires!$F$2:$F$1000,N94)&amp;":"&amp;INDEX(Wires!$G$2:$G$1000,N94),INDEX(Wires!$D$2:$D$1000,N94)&amp;":"&amp;INDEX(Wires!$E$2:$E$1000,N94)))</f>
        <v/>
      </c>
      <c r="I94" s="11">
        <f>IF(N94="","",INDEX(Wires!$H$2:$H$1000,N94)&amp;"")</f>
        <v/>
      </c>
      <c r="J94" s="11">
        <f>IF(N94="","",IF(INDEX(Wires!$I$2:$I$1000,N94)="","",INDEX(Wires!$I$2:$I$1000,N94)))</f>
        <v/>
      </c>
      <c r="K94" s="11">
        <f>COUNTIF(Wires!$W$2:$W$1000,M94)+COUNTIF(Wires!$X$2:$X$1000,M94)</f>
        <v/>
      </c>
      <c r="L94" s="11">
        <f>IF(AND(K94=0,C94&lt;&gt;"",D94&lt;&gt;"NC"),"pino com sinal mas sem fio; ","")&amp;IF(AND(D94="NC",K94&gt;0),"pino NC com fio; ","")&amp;IF(AND(K94&gt;1,ISERROR(MATCH(IFERROR(INDEX(Connectors!$D$2:$D$1000,MATCH(A94,Connectors!$A$2:$A$1000,0)),""),{"SPLICE","STUD"},0))),"vários fios no mesmo pino; ","")</f>
        <v/>
      </c>
      <c r="M94" s="11">
        <f>A94&amp;":"&amp;B94&amp;IF(EXACT(B94,UPPER(B94)),"","|lc")</f>
        <v/>
      </c>
      <c r="N94" s="11">
        <f>IFERROR(MATCH(M94,Wires!$W$2:$W$1000,0),IFERROR(MATCH(M94,Wires!$X$2:$X$1000,0),""))</f>
        <v/>
      </c>
      <c r="O94" s="11">
        <f>IF(N94="","",IF(ISNUMBER(MATCH(M94,Wires!$W$2:$W$1000,0)),"from","to"))</f>
        <v/>
      </c>
    </row>
    <row r="95">
      <c r="A95" s="9" t="inlineStr">
        <is>
          <t>LATCH J1</t>
        </is>
      </c>
      <c r="B95" s="9" t="inlineStr">
        <is>
          <t>5</t>
        </is>
      </c>
      <c r="C95" s="9" t="inlineStr">
        <is>
          <t>+24 V</t>
        </is>
      </c>
      <c r="D95" s="9" t="inlineStr">
        <is>
          <t>VCC</t>
        </is>
      </c>
      <c r="E95" s="9" t="inlineStr">
        <is>
          <t>24V</t>
        </is>
      </c>
      <c r="F95" s="11">
        <f>IF(N95="","",INDEX(Wires!$A$2:$A$1000,N95))</f>
        <v/>
      </c>
      <c r="G95" s="11">
        <f>IF(N95="","",INDEX(Wires!$C$2:$C$1000,N95))</f>
        <v/>
      </c>
      <c r="H95" s="11">
        <f>IF(N95="","",IF(O95="from",INDEX(Wires!$F$2:$F$1000,N95)&amp;":"&amp;INDEX(Wires!$G$2:$G$1000,N95),INDEX(Wires!$D$2:$D$1000,N95)&amp;":"&amp;INDEX(Wires!$E$2:$E$1000,N95)))</f>
        <v/>
      </c>
      <c r="I95" s="11">
        <f>IF(N95="","",INDEX(Wires!$H$2:$H$1000,N95)&amp;"")</f>
        <v/>
      </c>
      <c r="J95" s="11">
        <f>IF(N95="","",IF(INDEX(Wires!$I$2:$I$1000,N95)="","",INDEX(Wires!$I$2:$I$1000,N95)))</f>
        <v/>
      </c>
      <c r="K95" s="11">
        <f>COUNTIF(Wires!$W$2:$W$1000,M95)+COUNTIF(Wires!$X$2:$X$1000,M95)</f>
        <v/>
      </c>
      <c r="L95" s="11">
        <f>IF(AND(K95=0,C95&lt;&gt;"",D95&lt;&gt;"NC"),"pino com sinal mas sem fio; ","")&amp;IF(AND(D95="NC",K95&gt;0),"pino NC com fio; ","")&amp;IF(AND(K95&gt;1,ISERROR(MATCH(IFERROR(INDEX(Connectors!$D$2:$D$1000,MATCH(A95,Connectors!$A$2:$A$1000,0)),""),{"SPLICE","STUD"},0))),"vários fios no mesmo pino; ","")</f>
        <v/>
      </c>
      <c r="M95" s="11">
        <f>A95&amp;":"&amp;B95&amp;IF(EXACT(B95,UPPER(B95)),"","|lc")</f>
        <v/>
      </c>
      <c r="N95" s="11">
        <f>IFERROR(MATCH(M95,Wires!$W$2:$W$1000,0),IFERROR(MATCH(M95,Wires!$X$2:$X$1000,0),""))</f>
        <v/>
      </c>
      <c r="O95" s="11">
        <f>IF(N95="","",IF(ISNUMBER(MATCH(M95,Wires!$W$2:$W$1000,0)),"from","to"))</f>
        <v/>
      </c>
    </row>
    <row r="96">
      <c r="A96" s="9" t="inlineStr">
        <is>
          <t>LATCH J1</t>
        </is>
      </c>
      <c r="B96" s="9" t="inlineStr">
        <is>
          <t>6</t>
        </is>
      </c>
      <c r="C96" s="9" t="inlineStr">
        <is>
          <t>GND</t>
        </is>
      </c>
      <c r="D96" s="9" t="inlineStr">
        <is>
          <t>GND</t>
        </is>
      </c>
      <c r="E96" s="9" t="inlineStr">
        <is>
          <t>0V</t>
        </is>
      </c>
      <c r="F96" s="11">
        <f>IF(N96="","",INDEX(Wires!$A$2:$A$1000,N96))</f>
        <v/>
      </c>
      <c r="G96" s="11">
        <f>IF(N96="","",INDEX(Wires!$C$2:$C$1000,N96))</f>
        <v/>
      </c>
      <c r="H96" s="11">
        <f>IF(N96="","",IF(O96="from",INDEX(Wires!$F$2:$F$1000,N96)&amp;":"&amp;INDEX(Wires!$G$2:$G$1000,N96),INDEX(Wires!$D$2:$D$1000,N96)&amp;":"&amp;INDEX(Wires!$E$2:$E$1000,N96)))</f>
        <v/>
      </c>
      <c r="I96" s="11">
        <f>IF(N96="","",INDEX(Wires!$H$2:$H$1000,N96)&amp;"")</f>
        <v/>
      </c>
      <c r="J96" s="11">
        <f>IF(N96="","",IF(INDEX(Wires!$I$2:$I$1000,N96)="","",INDEX(Wires!$I$2:$I$1000,N96)))</f>
        <v/>
      </c>
      <c r="K96" s="11">
        <f>COUNTIF(Wires!$W$2:$W$1000,M96)+COUNTIF(Wires!$X$2:$X$1000,M96)</f>
        <v/>
      </c>
      <c r="L96" s="11">
        <f>IF(AND(K96=0,C96&lt;&gt;"",D96&lt;&gt;"NC"),"pino com sinal mas sem fio; ","")&amp;IF(AND(D96="NC",K96&gt;0),"pino NC com fio; ","")&amp;IF(AND(K96&gt;1,ISERROR(MATCH(IFERROR(INDEX(Connectors!$D$2:$D$1000,MATCH(A96,Connectors!$A$2:$A$1000,0)),""),{"SPLICE","STUD"},0))),"vários fios no mesmo pino; ","")</f>
        <v/>
      </c>
      <c r="M96" s="11">
        <f>A96&amp;":"&amp;B96&amp;IF(EXACT(B96,UPPER(B96)),"","|lc")</f>
        <v/>
      </c>
      <c r="N96" s="11">
        <f>IFERROR(MATCH(M96,Wires!$W$2:$W$1000,0),IFERROR(MATCH(M96,Wires!$X$2:$X$1000,0),""))</f>
        <v/>
      </c>
      <c r="O96" s="11">
        <f>IF(N96="","",IF(ISNUMBER(MATCH(M96,Wires!$W$2:$W$1000,0)),"from","to"))</f>
        <v/>
      </c>
    </row>
    <row r="97">
      <c r="A97" s="9" t="inlineStr">
        <is>
          <t>LATCH J1</t>
        </is>
      </c>
      <c r="B97" s="9" t="inlineStr">
        <is>
          <t>7</t>
        </is>
      </c>
      <c r="C97" s="9" t="inlineStr">
        <is>
          <t>BMS Led</t>
        </is>
      </c>
      <c r="D97" s="9" t="inlineStr">
        <is>
          <t>OUT</t>
        </is>
      </c>
      <c r="E97" s="9" t="inlineStr">
        <is>
          <t>24V</t>
        </is>
      </c>
      <c r="F97" s="11">
        <f>IF(N97="","",INDEX(Wires!$A$2:$A$1000,N97))</f>
        <v/>
      </c>
      <c r="G97" s="11">
        <f>IF(N97="","",INDEX(Wires!$C$2:$C$1000,N97))</f>
        <v/>
      </c>
      <c r="H97" s="11">
        <f>IF(N97="","",IF(O97="from",INDEX(Wires!$F$2:$F$1000,N97)&amp;":"&amp;INDEX(Wires!$G$2:$G$1000,N97),INDEX(Wires!$D$2:$D$1000,N97)&amp;":"&amp;INDEX(Wires!$E$2:$E$1000,N97)))</f>
        <v/>
      </c>
      <c r="I97" s="11">
        <f>IF(N97="","",INDEX(Wires!$H$2:$H$1000,N97)&amp;"")</f>
        <v/>
      </c>
      <c r="J97" s="11">
        <f>IF(N97="","",IF(INDEX(Wires!$I$2:$I$1000,N97)="","",INDEX(Wires!$I$2:$I$1000,N97)))</f>
        <v/>
      </c>
      <c r="K97" s="11">
        <f>COUNTIF(Wires!$W$2:$W$1000,M97)+COUNTIF(Wires!$X$2:$X$1000,M97)</f>
        <v/>
      </c>
      <c r="L97" s="11">
        <f>IF(AND(K97=0,C97&lt;&gt;"",D97&lt;&gt;"NC"),"pino com sinal mas sem fio; ","")&amp;IF(AND(D97="NC",K97&gt;0),"pino NC com fio; ","")&amp;IF(AND(K97&gt;1,ISERROR(MATCH(IFERROR(INDEX(Connectors!$D$2:$D$1000,MATCH(A97,Connectors!$A$2:$A$1000,0)),""),{"SPLICE","STUD"},0))),"vários fios no mesmo pino; ","")</f>
        <v/>
      </c>
      <c r="M97" s="11">
        <f>A97&amp;":"&amp;B97&amp;IF(EXACT(B97,UPPER(B97)),"","|lc")</f>
        <v/>
      </c>
      <c r="N97" s="11">
        <f>IFERROR(MATCH(M97,Wires!$W$2:$W$1000,0),IFERROR(MATCH(M97,Wires!$X$2:$X$1000,0),""))</f>
        <v/>
      </c>
      <c r="O97" s="11">
        <f>IF(N97="","",IF(ISNUMBER(MATCH(M97,Wires!$W$2:$W$1000,0)),"from","to"))</f>
        <v/>
      </c>
    </row>
    <row r="98">
      <c r="A98" s="9" t="inlineStr">
        <is>
          <t>LATCH J1</t>
        </is>
      </c>
      <c r="B98" s="9" t="inlineStr">
        <is>
          <t>8</t>
        </is>
      </c>
      <c r="C98" s="9" t="inlineStr">
        <is>
          <t>IMD Led</t>
        </is>
      </c>
      <c r="D98" s="9" t="inlineStr">
        <is>
          <t>OUT</t>
        </is>
      </c>
      <c r="E98" s="9" t="inlineStr">
        <is>
          <t>24V</t>
        </is>
      </c>
      <c r="F98" s="11">
        <f>IF(N98="","",INDEX(Wires!$A$2:$A$1000,N98))</f>
        <v/>
      </c>
      <c r="G98" s="11">
        <f>IF(N98="","",INDEX(Wires!$C$2:$C$1000,N98))</f>
        <v/>
      </c>
      <c r="H98" s="11">
        <f>IF(N98="","",IF(O98="from",INDEX(Wires!$F$2:$F$1000,N98)&amp;":"&amp;INDEX(Wires!$G$2:$G$1000,N98),INDEX(Wires!$D$2:$D$1000,N98)&amp;":"&amp;INDEX(Wires!$E$2:$E$1000,N98)))</f>
        <v/>
      </c>
      <c r="I98" s="11">
        <f>IF(N98="","",INDEX(Wires!$H$2:$H$1000,N98)&amp;"")</f>
        <v/>
      </c>
      <c r="J98" s="11">
        <f>IF(N98="","",IF(INDEX(Wires!$I$2:$I$1000,N98)="","",INDEX(Wires!$I$2:$I$1000,N98)))</f>
        <v/>
      </c>
      <c r="K98" s="11">
        <f>COUNTIF(Wires!$W$2:$W$1000,M98)+COUNTIF(Wires!$X$2:$X$1000,M98)</f>
        <v/>
      </c>
      <c r="L98" s="11">
        <f>IF(AND(K98=0,C98&lt;&gt;"",D98&lt;&gt;"NC"),"pino com sinal mas sem fio; ","")&amp;IF(AND(D98="NC",K98&gt;0),"pino NC com fio; ","")&amp;IF(AND(K98&gt;1,ISERROR(MATCH(IFERROR(INDEX(Connectors!$D$2:$D$1000,MATCH(A98,Connectors!$A$2:$A$1000,0)),""),{"SPLICE","STUD"},0))),"vários fios no mesmo pino; ","")</f>
        <v/>
      </c>
      <c r="M98" s="11">
        <f>A98&amp;":"&amp;B98&amp;IF(EXACT(B98,UPPER(B98)),"","|lc")</f>
        <v/>
      </c>
      <c r="N98" s="11">
        <f>IFERROR(MATCH(M98,Wires!$W$2:$W$1000,0),IFERROR(MATCH(M98,Wires!$X$2:$X$1000,0),""))</f>
        <v/>
      </c>
      <c r="O98" s="11">
        <f>IF(N98="","",IF(ISNUMBER(MATCH(M98,Wires!$W$2:$W$1000,0)),"from","to"))</f>
        <v/>
      </c>
    </row>
    <row r="99">
      <c r="A99" s="9" t="inlineStr">
        <is>
          <t>LATCH J1</t>
        </is>
      </c>
      <c r="B99" s="9" t="inlineStr">
        <is>
          <t>9</t>
        </is>
      </c>
      <c r="C99" s="9" t="inlineStr">
        <is>
          <t>Latch_SDC</t>
        </is>
      </c>
      <c r="D99" s="9" t="inlineStr">
        <is>
          <t>OUT</t>
        </is>
      </c>
      <c r="E99" s="9" t="inlineStr">
        <is>
          <t>24V</t>
        </is>
      </c>
      <c r="F99" s="11">
        <f>IF(N99="","",INDEX(Wires!$A$2:$A$1000,N99))</f>
        <v/>
      </c>
      <c r="G99" s="11">
        <f>IF(N99="","",INDEX(Wires!$C$2:$C$1000,N99))</f>
        <v/>
      </c>
      <c r="H99" s="11">
        <f>IF(N99="","",IF(O99="from",INDEX(Wires!$F$2:$F$1000,N99)&amp;":"&amp;INDEX(Wires!$G$2:$G$1000,N99),INDEX(Wires!$D$2:$D$1000,N99)&amp;":"&amp;INDEX(Wires!$E$2:$E$1000,N99)))</f>
        <v/>
      </c>
      <c r="I99" s="11">
        <f>IF(N99="","",INDEX(Wires!$H$2:$H$1000,N99)&amp;"")</f>
        <v/>
      </c>
      <c r="J99" s="11">
        <f>IF(N99="","",IF(INDEX(Wires!$I$2:$I$1000,N99)="","",INDEX(Wires!$I$2:$I$1000,N99)))</f>
        <v/>
      </c>
      <c r="K99" s="11">
        <f>COUNTIF(Wires!$W$2:$W$1000,M99)+COUNTIF(Wires!$X$2:$X$1000,M99)</f>
        <v/>
      </c>
      <c r="L99" s="11">
        <f>IF(AND(K99=0,C99&lt;&gt;"",D99&lt;&gt;"NC"),"pino com sinal mas sem fio; ","")&amp;IF(AND(D99="NC",K99&gt;0),"pino NC com fio; ","")&amp;IF(AND(K99&gt;1,ISERROR(MATCH(IFERROR(INDEX(Connectors!$D$2:$D$1000,MATCH(A99,Connectors!$A$2:$A$1000,0)),""),{"SPLICE","STUD"},0))),"vários fios no mesmo pino; ","")</f>
        <v/>
      </c>
      <c r="M99" s="11">
        <f>A99&amp;":"&amp;B99&amp;IF(EXACT(B99,UPPER(B99)),"","|lc")</f>
        <v/>
      </c>
      <c r="N99" s="11">
        <f>IFERROR(MATCH(M99,Wires!$W$2:$W$1000,0),IFERROR(MATCH(M99,Wires!$X$2:$X$1000,0),""))</f>
        <v/>
      </c>
      <c r="O99" s="11">
        <f>IF(N99="","",IF(ISNUMBER(MATCH(M99,Wires!$W$2:$W$1000,0)),"from","to"))</f>
        <v/>
      </c>
    </row>
    <row r="100">
      <c r="A100" s="9" t="inlineStr">
        <is>
          <t>LATCH J1</t>
        </is>
      </c>
      <c r="B100" s="9" t="inlineStr">
        <is>
          <t>10</t>
        </is>
      </c>
      <c r="C100" s="9" t="inlineStr">
        <is>
          <t>RE_SDC</t>
        </is>
      </c>
      <c r="D100" s="9" t="inlineStr">
        <is>
          <t>IN</t>
        </is>
      </c>
      <c r="E100" s="9" t="inlineStr">
        <is>
          <t>24V</t>
        </is>
      </c>
      <c r="F100" s="11">
        <f>IF(N100="","",INDEX(Wires!$A$2:$A$1000,N100))</f>
        <v/>
      </c>
      <c r="G100" s="11">
        <f>IF(N100="","",INDEX(Wires!$C$2:$C$1000,N100))</f>
        <v/>
      </c>
      <c r="H100" s="11">
        <f>IF(N100="","",IF(O100="from",INDEX(Wires!$F$2:$F$1000,N100)&amp;":"&amp;INDEX(Wires!$G$2:$G$1000,N100),INDEX(Wires!$D$2:$D$1000,N100)&amp;":"&amp;INDEX(Wires!$E$2:$E$1000,N100)))</f>
        <v/>
      </c>
      <c r="I100" s="11">
        <f>IF(N100="","",INDEX(Wires!$H$2:$H$1000,N100)&amp;"")</f>
        <v/>
      </c>
      <c r="J100" s="11">
        <f>IF(N100="","",IF(INDEX(Wires!$I$2:$I$1000,N100)="","",INDEX(Wires!$I$2:$I$1000,N100)))</f>
        <v/>
      </c>
      <c r="K100" s="11">
        <f>COUNTIF(Wires!$W$2:$W$1000,M100)+COUNTIF(Wires!$X$2:$X$1000,M100)</f>
        <v/>
      </c>
      <c r="L100" s="11">
        <f>IF(AND(K100=0,C100&lt;&gt;"",D100&lt;&gt;"NC"),"pino com sinal mas sem fio; ","")&amp;IF(AND(D100="NC",K100&gt;0),"pino NC com fio; ","")&amp;IF(AND(K100&gt;1,ISERROR(MATCH(IFERROR(INDEX(Connectors!$D$2:$D$1000,MATCH(A100,Connectors!$A$2:$A$1000,0)),""),{"SPLICE","STUD"},0))),"vários fios no mesmo pino; ","")</f>
        <v/>
      </c>
      <c r="M100" s="11">
        <f>A100&amp;":"&amp;B100&amp;IF(EXACT(B100,UPPER(B100)),"","|lc")</f>
        <v/>
      </c>
      <c r="N100" s="11">
        <f>IFERROR(MATCH(M100,Wires!$W$2:$W$1000,0),IFERROR(MATCH(M100,Wires!$X$2:$X$1000,0),""))</f>
        <v/>
      </c>
      <c r="O100" s="11">
        <f>IF(N100="","",IF(ISNUMBER(MATCH(M100,Wires!$W$2:$W$1000,0)),"from","to"))</f>
        <v/>
      </c>
    </row>
    <row r="101">
      <c r="A101" s="9" t="inlineStr">
        <is>
          <t>AMS J10</t>
        </is>
      </c>
      <c r="B101" s="9" t="inlineStr">
        <is>
          <t>1</t>
        </is>
      </c>
      <c r="C101" s="9" t="n"/>
      <c r="D101" s="9" t="inlineStr">
        <is>
          <t>NC</t>
        </is>
      </c>
      <c r="E101" s="9" t="n"/>
      <c r="F101" s="11">
        <f>IF(N101="","",INDEX(Wires!$A$2:$A$1000,N101))</f>
        <v/>
      </c>
      <c r="G101" s="11">
        <f>IF(N101="","",INDEX(Wires!$C$2:$C$1000,N101))</f>
        <v/>
      </c>
      <c r="H101" s="11">
        <f>IF(N101="","",IF(O101="from",INDEX(Wires!$F$2:$F$1000,N101)&amp;":"&amp;INDEX(Wires!$G$2:$G$1000,N101),INDEX(Wires!$D$2:$D$1000,N101)&amp;":"&amp;INDEX(Wires!$E$2:$E$1000,N101)))</f>
        <v/>
      </c>
      <c r="I101" s="11">
        <f>IF(N101="","",INDEX(Wires!$H$2:$H$1000,N101)&amp;"")</f>
        <v/>
      </c>
      <c r="J101" s="11">
        <f>IF(N101="","",IF(INDEX(Wires!$I$2:$I$1000,N101)="","",INDEX(Wires!$I$2:$I$1000,N101)))</f>
        <v/>
      </c>
      <c r="K101" s="11">
        <f>COUNTIF(Wires!$W$2:$W$1000,M101)+COUNTIF(Wires!$X$2:$X$1000,M101)</f>
        <v/>
      </c>
      <c r="L101" s="11">
        <f>IF(AND(K101=0,C101&lt;&gt;"",D101&lt;&gt;"NC"),"pino com sinal mas sem fio; ","")&amp;IF(AND(D101="NC",K101&gt;0),"pino NC com fio; ","")&amp;IF(AND(K101&gt;1,ISERROR(MATCH(IFERROR(INDEX(Connectors!$D$2:$D$1000,MATCH(A101,Connectors!$A$2:$A$1000,0)),""),{"SPLICE","STUD"},0))),"vários fios no mesmo pino; ","")</f>
        <v/>
      </c>
      <c r="M101" s="11">
        <f>A101&amp;":"&amp;B101&amp;IF(EXACT(B101,UPPER(B101)),"","|lc")</f>
        <v/>
      </c>
      <c r="N101" s="11">
        <f>IFERROR(MATCH(M101,Wires!$W$2:$W$1000,0),IFERROR(MATCH(M101,Wires!$X$2:$X$1000,0),""))</f>
        <v/>
      </c>
      <c r="O101" s="11">
        <f>IF(N101="","",IF(ISNUMBER(MATCH(M101,Wires!$W$2:$W$1000,0)),"from","to"))</f>
        <v/>
      </c>
    </row>
    <row r="102">
      <c r="A102" s="9" t="inlineStr">
        <is>
          <t>AMS J10</t>
        </is>
      </c>
      <c r="B102" s="9" t="inlineStr">
        <is>
          <t>2</t>
        </is>
      </c>
      <c r="C102" s="9" t="inlineStr">
        <is>
          <t>AIR-_Real</t>
        </is>
      </c>
      <c r="D102" s="9" t="inlineStr">
        <is>
          <t>OUT</t>
        </is>
      </c>
      <c r="E102" s="9" t="inlineStr">
        <is>
          <t>12V</t>
        </is>
      </c>
      <c r="F102" s="11">
        <f>IF(N102="","",INDEX(Wires!$A$2:$A$1000,N102))</f>
        <v/>
      </c>
      <c r="G102" s="11">
        <f>IF(N102="","",INDEX(Wires!$C$2:$C$1000,N102))</f>
        <v/>
      </c>
      <c r="H102" s="11">
        <f>IF(N102="","",IF(O102="from",INDEX(Wires!$F$2:$F$1000,N102)&amp;":"&amp;INDEX(Wires!$G$2:$G$1000,N102),INDEX(Wires!$D$2:$D$1000,N102)&amp;":"&amp;INDEX(Wires!$E$2:$E$1000,N102)))</f>
        <v/>
      </c>
      <c r="I102" s="11">
        <f>IF(N102="","",INDEX(Wires!$H$2:$H$1000,N102)&amp;"")</f>
        <v/>
      </c>
      <c r="J102" s="11">
        <f>IF(N102="","",IF(INDEX(Wires!$I$2:$I$1000,N102)="","",INDEX(Wires!$I$2:$I$1000,N102)))</f>
        <v/>
      </c>
      <c r="K102" s="11">
        <f>COUNTIF(Wires!$W$2:$W$1000,M102)+COUNTIF(Wires!$X$2:$X$1000,M102)</f>
        <v/>
      </c>
      <c r="L102" s="11">
        <f>IF(AND(K102=0,C102&lt;&gt;"",D102&lt;&gt;"NC"),"pino com sinal mas sem fio; ","")&amp;IF(AND(D102="NC",K102&gt;0),"pino NC com fio; ","")&amp;IF(AND(K102&gt;1,ISERROR(MATCH(IFERROR(INDEX(Connectors!$D$2:$D$1000,MATCH(A102,Connectors!$A$2:$A$1000,0)),""),{"SPLICE","STUD"},0))),"vários fios no mesmo pino; ","")</f>
        <v/>
      </c>
      <c r="M102" s="11">
        <f>A102&amp;":"&amp;B102&amp;IF(EXACT(B102,UPPER(B102)),"","|lc")</f>
        <v/>
      </c>
      <c r="N102" s="11">
        <f>IFERROR(MATCH(M102,Wires!$W$2:$W$1000,0),IFERROR(MATCH(M102,Wires!$X$2:$X$1000,0),""))</f>
        <v/>
      </c>
      <c r="O102" s="11">
        <f>IF(N102="","",IF(ISNUMBER(MATCH(M102,Wires!$W$2:$W$1000,0)),"from","to"))</f>
        <v/>
      </c>
    </row>
    <row r="103">
      <c r="A103" s="9" t="inlineStr">
        <is>
          <t>AMS J10</t>
        </is>
      </c>
      <c r="B103" s="9" t="inlineStr">
        <is>
          <t>3</t>
        </is>
      </c>
      <c r="C103" s="9" t="inlineStr">
        <is>
          <t>AIR+_Real</t>
        </is>
      </c>
      <c r="D103" s="9" t="inlineStr">
        <is>
          <t>OUT</t>
        </is>
      </c>
      <c r="E103" s="9" t="inlineStr">
        <is>
          <t>12V</t>
        </is>
      </c>
      <c r="F103" s="11">
        <f>IF(N103="","",INDEX(Wires!$A$2:$A$1000,N103))</f>
        <v/>
      </c>
      <c r="G103" s="11">
        <f>IF(N103="","",INDEX(Wires!$C$2:$C$1000,N103))</f>
        <v/>
      </c>
      <c r="H103" s="11">
        <f>IF(N103="","",IF(O103="from",INDEX(Wires!$F$2:$F$1000,N103)&amp;":"&amp;INDEX(Wires!$G$2:$G$1000,N103),INDEX(Wires!$D$2:$D$1000,N103)&amp;":"&amp;INDEX(Wires!$E$2:$E$1000,N103)))</f>
        <v/>
      </c>
      <c r="I103" s="11">
        <f>IF(N103="","",INDEX(Wires!$H$2:$H$1000,N103)&amp;"")</f>
        <v/>
      </c>
      <c r="J103" s="11">
        <f>IF(N103="","",IF(INDEX(Wires!$I$2:$I$1000,N103)="","",INDEX(Wires!$I$2:$I$1000,N103)))</f>
        <v/>
      </c>
      <c r="K103" s="11">
        <f>COUNTIF(Wires!$W$2:$W$1000,M103)+COUNTIF(Wires!$X$2:$X$1000,M103)</f>
        <v/>
      </c>
      <c r="L103" s="11">
        <f>IF(AND(K103=0,C103&lt;&gt;"",D103&lt;&gt;"NC"),"pino com sinal mas sem fio; ","")&amp;IF(AND(D103="NC",K103&gt;0),"pino NC com fio; ","")&amp;IF(AND(K103&gt;1,ISERROR(MATCH(IFERROR(INDEX(Connectors!$D$2:$D$1000,MATCH(A103,Connectors!$A$2:$A$1000,0)),""),{"SPLICE","STUD"},0))),"vários fios no mesmo pino; ","")</f>
        <v/>
      </c>
      <c r="M103" s="11">
        <f>A103&amp;":"&amp;B103&amp;IF(EXACT(B103,UPPER(B103)),"","|lc")</f>
        <v/>
      </c>
      <c r="N103" s="11">
        <f>IFERROR(MATCH(M103,Wires!$W$2:$W$1000,0),IFERROR(MATCH(M103,Wires!$X$2:$X$1000,0),""))</f>
        <v/>
      </c>
      <c r="O103" s="11">
        <f>IF(N103="","",IF(ISNUMBER(MATCH(M103,Wires!$W$2:$W$1000,0)),"from","to"))</f>
        <v/>
      </c>
    </row>
    <row r="104">
      <c r="A104" s="9" t="inlineStr">
        <is>
          <t>AMS J10</t>
        </is>
      </c>
      <c r="B104" s="9" t="inlineStr">
        <is>
          <t>4</t>
        </is>
      </c>
      <c r="C104" s="9" t="inlineStr">
        <is>
          <t>Pre_Real</t>
        </is>
      </c>
      <c r="D104" s="9" t="inlineStr">
        <is>
          <t>OUT</t>
        </is>
      </c>
      <c r="E104" s="9" t="inlineStr">
        <is>
          <t>12V</t>
        </is>
      </c>
      <c r="F104" s="11">
        <f>IF(N104="","",INDEX(Wires!$A$2:$A$1000,N104))</f>
        <v/>
      </c>
      <c r="G104" s="11">
        <f>IF(N104="","",INDEX(Wires!$C$2:$C$1000,N104))</f>
        <v/>
      </c>
      <c r="H104" s="11">
        <f>IF(N104="","",IF(O104="from",INDEX(Wires!$F$2:$F$1000,N104)&amp;":"&amp;INDEX(Wires!$G$2:$G$1000,N104),INDEX(Wires!$D$2:$D$1000,N104)&amp;":"&amp;INDEX(Wires!$E$2:$E$1000,N104)))</f>
        <v/>
      </c>
      <c r="I104" s="11">
        <f>IF(N104="","",INDEX(Wires!$H$2:$H$1000,N104)&amp;"")</f>
        <v/>
      </c>
      <c r="J104" s="11">
        <f>IF(N104="","",IF(INDEX(Wires!$I$2:$I$1000,N104)="","",INDEX(Wires!$I$2:$I$1000,N104)))</f>
        <v/>
      </c>
      <c r="K104" s="11">
        <f>COUNTIF(Wires!$W$2:$W$1000,M104)+COUNTIF(Wires!$X$2:$X$1000,M104)</f>
        <v/>
      </c>
      <c r="L104" s="11">
        <f>IF(AND(K104=0,C104&lt;&gt;"",D104&lt;&gt;"NC"),"pino com sinal mas sem fio; ","")&amp;IF(AND(D104="NC",K104&gt;0),"pino NC com fio; ","")&amp;IF(AND(K104&gt;1,ISERROR(MATCH(IFERROR(INDEX(Connectors!$D$2:$D$1000,MATCH(A104,Connectors!$A$2:$A$1000,0)),""),{"SPLICE","STUD"},0))),"vários fios no mesmo pino; ","")</f>
        <v/>
      </c>
      <c r="M104" s="11">
        <f>A104&amp;":"&amp;B104&amp;IF(EXACT(B104,UPPER(B104)),"","|lc")</f>
        <v/>
      </c>
      <c r="N104" s="11">
        <f>IFERROR(MATCH(M104,Wires!$W$2:$W$1000,0),IFERROR(MATCH(M104,Wires!$X$2:$X$1000,0),""))</f>
        <v/>
      </c>
      <c r="O104" s="11">
        <f>IF(N104="","",IF(ISNUMBER(MATCH(M104,Wires!$W$2:$W$1000,0)),"from","to"))</f>
        <v/>
      </c>
    </row>
    <row r="105">
      <c r="A105" s="9" t="inlineStr">
        <is>
          <t>AMS J10</t>
        </is>
      </c>
      <c r="B105" s="9" t="inlineStr">
        <is>
          <t>5</t>
        </is>
      </c>
      <c r="C105" s="9" t="n"/>
      <c r="D105" s="9" t="inlineStr">
        <is>
          <t>NC</t>
        </is>
      </c>
      <c r="E105" s="9" t="n"/>
      <c r="F105" s="11">
        <f>IF(N105="","",INDEX(Wires!$A$2:$A$1000,N105))</f>
        <v/>
      </c>
      <c r="G105" s="11">
        <f>IF(N105="","",INDEX(Wires!$C$2:$C$1000,N105))</f>
        <v/>
      </c>
      <c r="H105" s="11">
        <f>IF(N105="","",IF(O105="from",INDEX(Wires!$F$2:$F$1000,N105)&amp;":"&amp;INDEX(Wires!$G$2:$G$1000,N105),INDEX(Wires!$D$2:$D$1000,N105)&amp;":"&amp;INDEX(Wires!$E$2:$E$1000,N105)))</f>
        <v/>
      </c>
      <c r="I105" s="11">
        <f>IF(N105="","",INDEX(Wires!$H$2:$H$1000,N105)&amp;"")</f>
        <v/>
      </c>
      <c r="J105" s="11">
        <f>IF(N105="","",IF(INDEX(Wires!$I$2:$I$1000,N105)="","",INDEX(Wires!$I$2:$I$1000,N105)))</f>
        <v/>
      </c>
      <c r="K105" s="11">
        <f>COUNTIF(Wires!$W$2:$W$1000,M105)+COUNTIF(Wires!$X$2:$X$1000,M105)</f>
        <v/>
      </c>
      <c r="L105" s="11">
        <f>IF(AND(K105=0,C105&lt;&gt;"",D105&lt;&gt;"NC"),"pino com sinal mas sem fio; ","")&amp;IF(AND(D105="NC",K105&gt;0),"pino NC com fio; ","")&amp;IF(AND(K105&gt;1,ISERROR(MATCH(IFERROR(INDEX(Connectors!$D$2:$D$1000,MATCH(A105,Connectors!$A$2:$A$1000,0)),""),{"SPLICE","STUD"},0))),"vários fios no mesmo pino; ","")</f>
        <v/>
      </c>
      <c r="M105" s="11">
        <f>A105&amp;":"&amp;B105&amp;IF(EXACT(B105,UPPER(B105)),"","|lc")</f>
        <v/>
      </c>
      <c r="N105" s="11">
        <f>IFERROR(MATCH(M105,Wires!$W$2:$W$1000,0),IFERROR(MATCH(M105,Wires!$X$2:$X$1000,0),""))</f>
        <v/>
      </c>
      <c r="O105" s="11">
        <f>IF(N105="","",IF(ISNUMBER(MATCH(M105,Wires!$W$2:$W$1000,0)),"from","to"))</f>
        <v/>
      </c>
    </row>
    <row r="106">
      <c r="A106" s="9" t="inlineStr">
        <is>
          <t>AMS J10</t>
        </is>
      </c>
      <c r="B106" s="9" t="inlineStr">
        <is>
          <t>6</t>
        </is>
      </c>
      <c r="C106" s="9" t="inlineStr">
        <is>
          <t>AIR-_12V</t>
        </is>
      </c>
      <c r="D106" s="9" t="inlineStr">
        <is>
          <t>OUT</t>
        </is>
      </c>
      <c r="E106" s="9" t="inlineStr">
        <is>
          <t>12V</t>
        </is>
      </c>
      <c r="F106" s="11">
        <f>IF(N106="","",INDEX(Wires!$A$2:$A$1000,N106))</f>
        <v/>
      </c>
      <c r="G106" s="11">
        <f>IF(N106="","",INDEX(Wires!$C$2:$C$1000,N106))</f>
        <v/>
      </c>
      <c r="H106" s="11">
        <f>IF(N106="","",IF(O106="from",INDEX(Wires!$F$2:$F$1000,N106)&amp;":"&amp;INDEX(Wires!$G$2:$G$1000,N106),INDEX(Wires!$D$2:$D$1000,N106)&amp;":"&amp;INDEX(Wires!$E$2:$E$1000,N106)))</f>
        <v/>
      </c>
      <c r="I106" s="11">
        <f>IF(N106="","",INDEX(Wires!$H$2:$H$1000,N106)&amp;"")</f>
        <v/>
      </c>
      <c r="J106" s="11">
        <f>IF(N106="","",IF(INDEX(Wires!$I$2:$I$1000,N106)="","",INDEX(Wires!$I$2:$I$1000,N106)))</f>
        <v/>
      </c>
      <c r="K106" s="11">
        <f>COUNTIF(Wires!$W$2:$W$1000,M106)+COUNTIF(Wires!$X$2:$X$1000,M106)</f>
        <v/>
      </c>
      <c r="L106" s="11">
        <f>IF(AND(K106=0,C106&lt;&gt;"",D106&lt;&gt;"NC"),"pino com sinal mas sem fio; ","")&amp;IF(AND(D106="NC",K106&gt;0),"pino NC com fio; ","")&amp;IF(AND(K106&gt;1,ISERROR(MATCH(IFERROR(INDEX(Connectors!$D$2:$D$1000,MATCH(A106,Connectors!$A$2:$A$1000,0)),""),{"SPLICE","STUD"},0))),"vários fios no mesmo pino; ","")</f>
        <v/>
      </c>
      <c r="M106" s="11">
        <f>A106&amp;":"&amp;B106&amp;IF(EXACT(B106,UPPER(B106)),"","|lc")</f>
        <v/>
      </c>
      <c r="N106" s="11">
        <f>IFERROR(MATCH(M106,Wires!$W$2:$W$1000,0),IFERROR(MATCH(M106,Wires!$X$2:$X$1000,0),""))</f>
        <v/>
      </c>
      <c r="O106" s="11">
        <f>IF(N106="","",IF(ISNUMBER(MATCH(M106,Wires!$W$2:$W$1000,0)),"from","to"))</f>
        <v/>
      </c>
    </row>
    <row r="107">
      <c r="A107" s="9" t="inlineStr">
        <is>
          <t>AMS J10</t>
        </is>
      </c>
      <c r="B107" s="9" t="inlineStr">
        <is>
          <t>7</t>
        </is>
      </c>
      <c r="C107" s="9" t="inlineStr">
        <is>
          <t>AIR+_12V</t>
        </is>
      </c>
      <c r="D107" s="9" t="inlineStr">
        <is>
          <t>OUT</t>
        </is>
      </c>
      <c r="E107" s="9" t="inlineStr">
        <is>
          <t>12V</t>
        </is>
      </c>
      <c r="F107" s="11">
        <f>IF(N107="","",INDEX(Wires!$A$2:$A$1000,N107))</f>
        <v/>
      </c>
      <c r="G107" s="11">
        <f>IF(N107="","",INDEX(Wires!$C$2:$C$1000,N107))</f>
        <v/>
      </c>
      <c r="H107" s="11">
        <f>IF(N107="","",IF(O107="from",INDEX(Wires!$F$2:$F$1000,N107)&amp;":"&amp;INDEX(Wires!$G$2:$G$1000,N107),INDEX(Wires!$D$2:$D$1000,N107)&amp;":"&amp;INDEX(Wires!$E$2:$E$1000,N107)))</f>
        <v/>
      </c>
      <c r="I107" s="11">
        <f>IF(N107="","",INDEX(Wires!$H$2:$H$1000,N107)&amp;"")</f>
        <v/>
      </c>
      <c r="J107" s="11">
        <f>IF(N107="","",IF(INDEX(Wires!$I$2:$I$1000,N107)="","",INDEX(Wires!$I$2:$I$1000,N107)))</f>
        <v/>
      </c>
      <c r="K107" s="11">
        <f>COUNTIF(Wires!$W$2:$W$1000,M107)+COUNTIF(Wires!$X$2:$X$1000,M107)</f>
        <v/>
      </c>
      <c r="L107" s="11">
        <f>IF(AND(K107=0,C107&lt;&gt;"",D107&lt;&gt;"NC"),"pino com sinal mas sem fio; ","")&amp;IF(AND(D107="NC",K107&gt;0),"pino NC com fio; ","")&amp;IF(AND(K107&gt;1,ISERROR(MATCH(IFERROR(INDEX(Connectors!$D$2:$D$1000,MATCH(A107,Connectors!$A$2:$A$1000,0)),""),{"SPLICE","STUD"},0))),"vários fios no mesmo pino; ","")</f>
        <v/>
      </c>
      <c r="M107" s="11">
        <f>A107&amp;":"&amp;B107&amp;IF(EXACT(B107,UPPER(B107)),"","|lc")</f>
        <v/>
      </c>
      <c r="N107" s="11">
        <f>IFERROR(MATCH(M107,Wires!$W$2:$W$1000,0),IFERROR(MATCH(M107,Wires!$X$2:$X$1000,0),""))</f>
        <v/>
      </c>
      <c r="O107" s="11">
        <f>IF(N107="","",IF(ISNUMBER(MATCH(M107,Wires!$W$2:$W$1000,0)),"from","to"))</f>
        <v/>
      </c>
    </row>
    <row r="108">
      <c r="A108" s="9" t="inlineStr">
        <is>
          <t>AMS J10</t>
        </is>
      </c>
      <c r="B108" s="9" t="inlineStr">
        <is>
          <t>8</t>
        </is>
      </c>
      <c r="C108" s="9" t="inlineStr">
        <is>
          <t>Pre_12V</t>
        </is>
      </c>
      <c r="D108" s="9" t="inlineStr">
        <is>
          <t>OUT</t>
        </is>
      </c>
      <c r="E108" s="9" t="inlineStr">
        <is>
          <t>12V</t>
        </is>
      </c>
      <c r="F108" s="11">
        <f>IF(N108="","",INDEX(Wires!$A$2:$A$1000,N108))</f>
        <v/>
      </c>
      <c r="G108" s="11">
        <f>IF(N108="","",INDEX(Wires!$C$2:$C$1000,N108))</f>
        <v/>
      </c>
      <c r="H108" s="11">
        <f>IF(N108="","",IF(O108="from",INDEX(Wires!$F$2:$F$1000,N108)&amp;":"&amp;INDEX(Wires!$G$2:$G$1000,N108),INDEX(Wires!$D$2:$D$1000,N108)&amp;":"&amp;INDEX(Wires!$E$2:$E$1000,N108)))</f>
        <v/>
      </c>
      <c r="I108" s="11">
        <f>IF(N108="","",INDEX(Wires!$H$2:$H$1000,N108)&amp;"")</f>
        <v/>
      </c>
      <c r="J108" s="11">
        <f>IF(N108="","",IF(INDEX(Wires!$I$2:$I$1000,N108)="","",INDEX(Wires!$I$2:$I$1000,N108)))</f>
        <v/>
      </c>
      <c r="K108" s="11">
        <f>COUNTIF(Wires!$W$2:$W$1000,M108)+COUNTIF(Wires!$X$2:$X$1000,M108)</f>
        <v/>
      </c>
      <c r="L108" s="11">
        <f>IF(AND(K108=0,C108&lt;&gt;"",D108&lt;&gt;"NC"),"pino com sinal mas sem fio; ","")&amp;IF(AND(D108="NC",K108&gt;0),"pino NC com fio; ","")&amp;IF(AND(K108&gt;1,ISERROR(MATCH(IFERROR(INDEX(Connectors!$D$2:$D$1000,MATCH(A108,Connectors!$A$2:$A$1000,0)),""),{"SPLICE","STUD"},0))),"vários fios no mesmo pino; ","")</f>
        <v/>
      </c>
      <c r="M108" s="11">
        <f>A108&amp;":"&amp;B108&amp;IF(EXACT(B108,UPPER(B108)),"","|lc")</f>
        <v/>
      </c>
      <c r="N108" s="11">
        <f>IFERROR(MATCH(M108,Wires!$W$2:$W$1000,0),IFERROR(MATCH(M108,Wires!$X$2:$X$1000,0),""))</f>
        <v/>
      </c>
      <c r="O108" s="11">
        <f>IF(N108="","",IF(ISNUMBER(MATCH(M108,Wires!$W$2:$W$1000,0)),"from","to"))</f>
        <v/>
      </c>
    </row>
    <row r="109">
      <c r="A109" s="9" t="inlineStr">
        <is>
          <t>AMS J10</t>
        </is>
      </c>
      <c r="B109" s="9" t="inlineStr">
        <is>
          <t>9</t>
        </is>
      </c>
      <c r="C109" s="9" t="n"/>
      <c r="D109" s="9" t="inlineStr">
        <is>
          <t>NC</t>
        </is>
      </c>
      <c r="E109" s="9" t="n"/>
      <c r="F109" s="11">
        <f>IF(N109="","",INDEX(Wires!$A$2:$A$1000,N109))</f>
        <v/>
      </c>
      <c r="G109" s="11">
        <f>IF(N109="","",INDEX(Wires!$C$2:$C$1000,N109))</f>
        <v/>
      </c>
      <c r="H109" s="11">
        <f>IF(N109="","",IF(O109="from",INDEX(Wires!$F$2:$F$1000,N109)&amp;":"&amp;INDEX(Wires!$G$2:$G$1000,N109),INDEX(Wires!$D$2:$D$1000,N109)&amp;":"&amp;INDEX(Wires!$E$2:$E$1000,N109)))</f>
        <v/>
      </c>
      <c r="I109" s="11">
        <f>IF(N109="","",INDEX(Wires!$H$2:$H$1000,N109)&amp;"")</f>
        <v/>
      </c>
      <c r="J109" s="11">
        <f>IF(N109="","",IF(INDEX(Wires!$I$2:$I$1000,N109)="","",INDEX(Wires!$I$2:$I$1000,N109)))</f>
        <v/>
      </c>
      <c r="K109" s="11">
        <f>COUNTIF(Wires!$W$2:$W$1000,M109)+COUNTIF(Wires!$X$2:$X$1000,M109)</f>
        <v/>
      </c>
      <c r="L109" s="11">
        <f>IF(AND(K109=0,C109&lt;&gt;"",D109&lt;&gt;"NC"),"pino com sinal mas sem fio; ","")&amp;IF(AND(D109="NC",K109&gt;0),"pino NC com fio; ","")&amp;IF(AND(K109&gt;1,ISERROR(MATCH(IFERROR(INDEX(Connectors!$D$2:$D$1000,MATCH(A109,Connectors!$A$2:$A$1000,0)),""),{"SPLICE","STUD"},0))),"vários fios no mesmo pino; ","")</f>
        <v/>
      </c>
      <c r="M109" s="11">
        <f>A109&amp;":"&amp;B109&amp;IF(EXACT(B109,UPPER(B109)),"","|lc")</f>
        <v/>
      </c>
      <c r="N109" s="11">
        <f>IFERROR(MATCH(M109,Wires!$W$2:$W$1000,0),IFERROR(MATCH(M109,Wires!$X$2:$X$1000,0),""))</f>
        <v/>
      </c>
      <c r="O109" s="11">
        <f>IF(N109="","",IF(ISNUMBER(MATCH(M109,Wires!$W$2:$W$1000,0)),"from","to"))</f>
        <v/>
      </c>
    </row>
    <row r="110">
      <c r="A110" s="9" t="inlineStr">
        <is>
          <t>AMS J10</t>
        </is>
      </c>
      <c r="B110" s="9" t="inlineStr">
        <is>
          <t>10</t>
        </is>
      </c>
      <c r="C110" s="9" t="inlineStr">
        <is>
          <t>Air-_Feed</t>
        </is>
      </c>
      <c r="D110" s="9" t="inlineStr">
        <is>
          <t>IN</t>
        </is>
      </c>
      <c r="E110" s="9" t="inlineStr">
        <is>
          <t>12V</t>
        </is>
      </c>
      <c r="F110" s="11">
        <f>IF(N110="","",INDEX(Wires!$A$2:$A$1000,N110))</f>
        <v/>
      </c>
      <c r="G110" s="11">
        <f>IF(N110="","",INDEX(Wires!$C$2:$C$1000,N110))</f>
        <v/>
      </c>
      <c r="H110" s="11">
        <f>IF(N110="","",IF(O110="from",INDEX(Wires!$F$2:$F$1000,N110)&amp;":"&amp;INDEX(Wires!$G$2:$G$1000,N110),INDEX(Wires!$D$2:$D$1000,N110)&amp;":"&amp;INDEX(Wires!$E$2:$E$1000,N110)))</f>
        <v/>
      </c>
      <c r="I110" s="11">
        <f>IF(N110="","",INDEX(Wires!$H$2:$H$1000,N110)&amp;"")</f>
        <v/>
      </c>
      <c r="J110" s="11">
        <f>IF(N110="","",IF(INDEX(Wires!$I$2:$I$1000,N110)="","",INDEX(Wires!$I$2:$I$1000,N110)))</f>
        <v/>
      </c>
      <c r="K110" s="11">
        <f>COUNTIF(Wires!$W$2:$W$1000,M110)+COUNTIF(Wires!$X$2:$X$1000,M110)</f>
        <v/>
      </c>
      <c r="L110" s="11">
        <f>IF(AND(K110=0,C110&lt;&gt;"",D110&lt;&gt;"NC"),"pino com sinal mas sem fio; ","")&amp;IF(AND(D110="NC",K110&gt;0),"pino NC com fio; ","")&amp;IF(AND(K110&gt;1,ISERROR(MATCH(IFERROR(INDEX(Connectors!$D$2:$D$1000,MATCH(A110,Connectors!$A$2:$A$1000,0)),""),{"SPLICE","STUD"},0))),"vários fios no mesmo pino; ","")</f>
        <v/>
      </c>
      <c r="M110" s="11">
        <f>A110&amp;":"&amp;B110&amp;IF(EXACT(B110,UPPER(B110)),"","|lc")</f>
        <v/>
      </c>
      <c r="N110" s="11">
        <f>IFERROR(MATCH(M110,Wires!$W$2:$W$1000,0),IFERROR(MATCH(M110,Wires!$X$2:$X$1000,0),""))</f>
        <v/>
      </c>
      <c r="O110" s="11">
        <f>IF(N110="","",IF(ISNUMBER(MATCH(M110,Wires!$W$2:$W$1000,0)),"from","to"))</f>
        <v/>
      </c>
    </row>
    <row r="111">
      <c r="A111" s="9" t="inlineStr">
        <is>
          <t>AMS J10</t>
        </is>
      </c>
      <c r="B111" s="9" t="inlineStr">
        <is>
          <t>11</t>
        </is>
      </c>
      <c r="C111" s="9" t="inlineStr">
        <is>
          <t>Air+_Feed</t>
        </is>
      </c>
      <c r="D111" s="9" t="inlineStr">
        <is>
          <t>IN</t>
        </is>
      </c>
      <c r="E111" s="9" t="inlineStr">
        <is>
          <t>12V</t>
        </is>
      </c>
      <c r="F111" s="11">
        <f>IF(N111="","",INDEX(Wires!$A$2:$A$1000,N111))</f>
        <v/>
      </c>
      <c r="G111" s="11">
        <f>IF(N111="","",INDEX(Wires!$C$2:$C$1000,N111))</f>
        <v/>
      </c>
      <c r="H111" s="11">
        <f>IF(N111="","",IF(O111="from",INDEX(Wires!$F$2:$F$1000,N111)&amp;":"&amp;INDEX(Wires!$G$2:$G$1000,N111),INDEX(Wires!$D$2:$D$1000,N111)&amp;":"&amp;INDEX(Wires!$E$2:$E$1000,N111)))</f>
        <v/>
      </c>
      <c r="I111" s="11">
        <f>IF(N111="","",INDEX(Wires!$H$2:$H$1000,N111)&amp;"")</f>
        <v/>
      </c>
      <c r="J111" s="11">
        <f>IF(N111="","",IF(INDEX(Wires!$I$2:$I$1000,N111)="","",INDEX(Wires!$I$2:$I$1000,N111)))</f>
        <v/>
      </c>
      <c r="K111" s="11">
        <f>COUNTIF(Wires!$W$2:$W$1000,M111)+COUNTIF(Wires!$X$2:$X$1000,M111)</f>
        <v/>
      </c>
      <c r="L111" s="11">
        <f>IF(AND(K111=0,C111&lt;&gt;"",D111&lt;&gt;"NC"),"pino com sinal mas sem fio; ","")&amp;IF(AND(D111="NC",K111&gt;0),"pino NC com fio; ","")&amp;IF(AND(K111&gt;1,ISERROR(MATCH(IFERROR(INDEX(Connectors!$D$2:$D$1000,MATCH(A111,Connectors!$A$2:$A$1000,0)),""),{"SPLICE","STUD"},0))),"vários fios no mesmo pino; ","")</f>
        <v/>
      </c>
      <c r="M111" s="11">
        <f>A111&amp;":"&amp;B111&amp;IF(EXACT(B111,UPPER(B111)),"","|lc")</f>
        <v/>
      </c>
      <c r="N111" s="11">
        <f>IFERROR(MATCH(M111,Wires!$W$2:$W$1000,0),IFERROR(MATCH(M111,Wires!$X$2:$X$1000,0),""))</f>
        <v/>
      </c>
      <c r="O111" s="11">
        <f>IF(N111="","",IF(ISNUMBER(MATCH(M111,Wires!$W$2:$W$1000,0)),"from","to"))</f>
        <v/>
      </c>
    </row>
    <row r="112">
      <c r="A112" s="9" t="inlineStr">
        <is>
          <t>AMS J10</t>
        </is>
      </c>
      <c r="B112" s="9" t="inlineStr">
        <is>
          <t>12</t>
        </is>
      </c>
      <c r="C112" s="9" t="inlineStr">
        <is>
          <t>Pre_Feed</t>
        </is>
      </c>
      <c r="D112" s="9" t="inlineStr">
        <is>
          <t>IN</t>
        </is>
      </c>
      <c r="E112" s="9" t="inlineStr">
        <is>
          <t>12V</t>
        </is>
      </c>
      <c r="F112" s="11">
        <f>IF(N112="","",INDEX(Wires!$A$2:$A$1000,N112))</f>
        <v/>
      </c>
      <c r="G112" s="11">
        <f>IF(N112="","",INDEX(Wires!$C$2:$C$1000,N112))</f>
        <v/>
      </c>
      <c r="H112" s="11">
        <f>IF(N112="","",IF(O112="from",INDEX(Wires!$F$2:$F$1000,N112)&amp;":"&amp;INDEX(Wires!$G$2:$G$1000,N112),INDEX(Wires!$D$2:$D$1000,N112)&amp;":"&amp;INDEX(Wires!$E$2:$E$1000,N112)))</f>
        <v/>
      </c>
      <c r="I112" s="11">
        <f>IF(N112="","",INDEX(Wires!$H$2:$H$1000,N112)&amp;"")</f>
        <v/>
      </c>
      <c r="J112" s="11">
        <f>IF(N112="","",IF(INDEX(Wires!$I$2:$I$1000,N112)="","",INDEX(Wires!$I$2:$I$1000,N112)))</f>
        <v/>
      </c>
      <c r="K112" s="11">
        <f>COUNTIF(Wires!$W$2:$W$1000,M112)+COUNTIF(Wires!$X$2:$X$1000,M112)</f>
        <v/>
      </c>
      <c r="L112" s="11">
        <f>IF(AND(K112=0,C112&lt;&gt;"",D112&lt;&gt;"NC"),"pino com sinal mas sem fio; ","")&amp;IF(AND(D112="NC",K112&gt;0),"pino NC com fio; ","")&amp;IF(AND(K112&gt;1,ISERROR(MATCH(IFERROR(INDEX(Connectors!$D$2:$D$1000,MATCH(A112,Connectors!$A$2:$A$1000,0)),""),{"SPLICE","STUD"},0))),"vários fios no mesmo pino; ","")</f>
        <v/>
      </c>
      <c r="M112" s="11">
        <f>A112&amp;":"&amp;B112&amp;IF(EXACT(B112,UPPER(B112)),"","|lc")</f>
        <v/>
      </c>
      <c r="N112" s="11">
        <f>IFERROR(MATCH(M112,Wires!$W$2:$W$1000,0),IFERROR(MATCH(M112,Wires!$X$2:$X$1000,0),""))</f>
        <v/>
      </c>
      <c r="O112" s="11">
        <f>IF(N112="","",IF(ISNUMBER(MATCH(M112,Wires!$W$2:$W$1000,0)),"from","to"))</f>
        <v/>
      </c>
    </row>
    <row r="113">
      <c r="A113" s="9" t="inlineStr">
        <is>
          <t>AMS J10</t>
        </is>
      </c>
      <c r="B113" s="9" t="inlineStr">
        <is>
          <t>13</t>
        </is>
      </c>
      <c r="C113" s="9" t="inlineStr">
        <is>
          <t>Pre Inten</t>
        </is>
      </c>
      <c r="D113" s="9" t="inlineStr">
        <is>
          <t>OUT</t>
        </is>
      </c>
      <c r="E113" s="9" t="inlineStr">
        <is>
          <t>12V</t>
        </is>
      </c>
      <c r="F113" s="11">
        <f>IF(N113="","",INDEX(Wires!$A$2:$A$1000,N113))</f>
        <v/>
      </c>
      <c r="G113" s="11">
        <f>IF(N113="","",INDEX(Wires!$C$2:$C$1000,N113))</f>
        <v/>
      </c>
      <c r="H113" s="11">
        <f>IF(N113="","",IF(O113="from",INDEX(Wires!$F$2:$F$1000,N113)&amp;":"&amp;INDEX(Wires!$G$2:$G$1000,N113),INDEX(Wires!$D$2:$D$1000,N113)&amp;":"&amp;INDEX(Wires!$E$2:$E$1000,N113)))</f>
        <v/>
      </c>
      <c r="I113" s="11">
        <f>IF(N113="","",INDEX(Wires!$H$2:$H$1000,N113)&amp;"")</f>
        <v/>
      </c>
      <c r="J113" s="11">
        <f>IF(N113="","",IF(INDEX(Wires!$I$2:$I$1000,N113)="","",INDEX(Wires!$I$2:$I$1000,N113)))</f>
        <v/>
      </c>
      <c r="K113" s="11">
        <f>COUNTIF(Wires!$W$2:$W$1000,M113)+COUNTIF(Wires!$X$2:$X$1000,M113)</f>
        <v/>
      </c>
      <c r="L113" s="11">
        <f>IF(AND(K113=0,C113&lt;&gt;"",D113&lt;&gt;"NC"),"pino com sinal mas sem fio; ","")&amp;IF(AND(D113="NC",K113&gt;0),"pino NC com fio; ","")&amp;IF(AND(K113&gt;1,ISERROR(MATCH(IFERROR(INDEX(Connectors!$D$2:$D$1000,MATCH(A113,Connectors!$A$2:$A$1000,0)),""),{"SPLICE","STUD"},0))),"vários fios no mesmo pino; ","")</f>
        <v/>
      </c>
      <c r="M113" s="11">
        <f>A113&amp;":"&amp;B113&amp;IF(EXACT(B113,UPPER(B113)),"","|lc")</f>
        <v/>
      </c>
      <c r="N113" s="11">
        <f>IFERROR(MATCH(M113,Wires!$W$2:$W$1000,0),IFERROR(MATCH(M113,Wires!$X$2:$X$1000,0),""))</f>
        <v/>
      </c>
      <c r="O113" s="11">
        <f>IF(N113="","",IF(ISNUMBER(MATCH(M113,Wires!$W$2:$W$1000,0)),"from","to"))</f>
        <v/>
      </c>
    </row>
    <row r="114">
      <c r="A114" s="9" t="inlineStr">
        <is>
          <t>AMS J10</t>
        </is>
      </c>
      <c r="B114" s="9" t="inlineStr">
        <is>
          <t>14</t>
        </is>
      </c>
      <c r="C114" s="9" t="inlineStr">
        <is>
          <t>AIR+ Inten</t>
        </is>
      </c>
      <c r="D114" s="9" t="inlineStr">
        <is>
          <t>OUT</t>
        </is>
      </c>
      <c r="E114" s="9" t="inlineStr">
        <is>
          <t>12V</t>
        </is>
      </c>
      <c r="F114" s="11">
        <f>IF(N114="","",INDEX(Wires!$A$2:$A$1000,N114))</f>
        <v/>
      </c>
      <c r="G114" s="11">
        <f>IF(N114="","",INDEX(Wires!$C$2:$C$1000,N114))</f>
        <v/>
      </c>
      <c r="H114" s="11">
        <f>IF(N114="","",IF(O114="from",INDEX(Wires!$F$2:$F$1000,N114)&amp;":"&amp;INDEX(Wires!$G$2:$G$1000,N114),INDEX(Wires!$D$2:$D$1000,N114)&amp;":"&amp;INDEX(Wires!$E$2:$E$1000,N114)))</f>
        <v/>
      </c>
      <c r="I114" s="11">
        <f>IF(N114="","",INDEX(Wires!$H$2:$H$1000,N114)&amp;"")</f>
        <v/>
      </c>
      <c r="J114" s="11">
        <f>IF(N114="","",IF(INDEX(Wires!$I$2:$I$1000,N114)="","",INDEX(Wires!$I$2:$I$1000,N114)))</f>
        <v/>
      </c>
      <c r="K114" s="11">
        <f>COUNTIF(Wires!$W$2:$W$1000,M114)+COUNTIF(Wires!$X$2:$X$1000,M114)</f>
        <v/>
      </c>
      <c r="L114" s="11">
        <f>IF(AND(K114=0,C114&lt;&gt;"",D114&lt;&gt;"NC"),"pino com sinal mas sem fio; ","")&amp;IF(AND(D114="NC",K114&gt;0),"pino NC com fio; ","")&amp;IF(AND(K114&gt;1,ISERROR(MATCH(IFERROR(INDEX(Connectors!$D$2:$D$1000,MATCH(A114,Connectors!$A$2:$A$1000,0)),""),{"SPLICE","STUD"},0))),"vários fios no mesmo pino; ","")</f>
        <v/>
      </c>
      <c r="M114" s="11">
        <f>A114&amp;":"&amp;B114&amp;IF(EXACT(B114,UPPER(B114)),"","|lc")</f>
        <v/>
      </c>
      <c r="N114" s="11">
        <f>IFERROR(MATCH(M114,Wires!$W$2:$W$1000,0),IFERROR(MATCH(M114,Wires!$X$2:$X$1000,0),""))</f>
        <v/>
      </c>
      <c r="O114" s="11">
        <f>IF(N114="","",IF(ISNUMBER(MATCH(M114,Wires!$W$2:$W$1000,0)),"from","to"))</f>
        <v/>
      </c>
    </row>
    <row r="115">
      <c r="A115" s="9" t="inlineStr">
        <is>
          <t>AMS J10</t>
        </is>
      </c>
      <c r="B115" s="9" t="inlineStr">
        <is>
          <t>15</t>
        </is>
      </c>
      <c r="C115" s="9" t="inlineStr">
        <is>
          <t>AIR - Inten</t>
        </is>
      </c>
      <c r="D115" s="9" t="inlineStr">
        <is>
          <t>OUT</t>
        </is>
      </c>
      <c r="E115" s="9" t="inlineStr">
        <is>
          <t>12V</t>
        </is>
      </c>
      <c r="F115" s="11">
        <f>IF(N115="","",INDEX(Wires!$A$2:$A$1000,N115))</f>
        <v/>
      </c>
      <c r="G115" s="11">
        <f>IF(N115="","",INDEX(Wires!$C$2:$C$1000,N115))</f>
        <v/>
      </c>
      <c r="H115" s="11">
        <f>IF(N115="","",IF(O115="from",INDEX(Wires!$F$2:$F$1000,N115)&amp;":"&amp;INDEX(Wires!$G$2:$G$1000,N115),INDEX(Wires!$D$2:$D$1000,N115)&amp;":"&amp;INDEX(Wires!$E$2:$E$1000,N115)))</f>
        <v/>
      </c>
      <c r="I115" s="11">
        <f>IF(N115="","",INDEX(Wires!$H$2:$H$1000,N115)&amp;"")</f>
        <v/>
      </c>
      <c r="J115" s="11">
        <f>IF(N115="","",IF(INDEX(Wires!$I$2:$I$1000,N115)="","",INDEX(Wires!$I$2:$I$1000,N115)))</f>
        <v/>
      </c>
      <c r="K115" s="11">
        <f>COUNTIF(Wires!$W$2:$W$1000,M115)+COUNTIF(Wires!$X$2:$X$1000,M115)</f>
        <v/>
      </c>
      <c r="L115" s="11">
        <f>IF(AND(K115=0,C115&lt;&gt;"",D115&lt;&gt;"NC"),"pino com sinal mas sem fio; ","")&amp;IF(AND(D115="NC",K115&gt;0),"pino NC com fio; ","")&amp;IF(AND(K115&gt;1,ISERROR(MATCH(IFERROR(INDEX(Connectors!$D$2:$D$1000,MATCH(A115,Connectors!$A$2:$A$1000,0)),""),{"SPLICE","STUD"},0))),"vários fios no mesmo pino; ","")</f>
        <v/>
      </c>
      <c r="M115" s="11">
        <f>A115&amp;":"&amp;B115&amp;IF(EXACT(B115,UPPER(B115)),"","|lc")</f>
        <v/>
      </c>
      <c r="N115" s="11">
        <f>IFERROR(MATCH(M115,Wires!$W$2:$W$1000,0),IFERROR(MATCH(M115,Wires!$X$2:$X$1000,0),""))</f>
        <v/>
      </c>
      <c r="O115" s="11">
        <f>IF(N115="","",IF(ISNUMBER(MATCH(M115,Wires!$W$2:$W$1000,0)),"from","to"))</f>
        <v/>
      </c>
    </row>
    <row r="116">
      <c r="A116" s="9" t="inlineStr">
        <is>
          <t>AMS J10</t>
        </is>
      </c>
      <c r="B116" s="9" t="inlineStr">
        <is>
          <t>16</t>
        </is>
      </c>
      <c r="C116" s="9" t="n"/>
      <c r="D116" s="9" t="inlineStr">
        <is>
          <t>NC</t>
        </is>
      </c>
      <c r="E116" s="9" t="n"/>
      <c r="F116" s="11">
        <f>IF(N116="","",INDEX(Wires!$A$2:$A$1000,N116))</f>
        <v/>
      </c>
      <c r="G116" s="11">
        <f>IF(N116="","",INDEX(Wires!$C$2:$C$1000,N116))</f>
        <v/>
      </c>
      <c r="H116" s="11">
        <f>IF(N116="","",IF(O116="from",INDEX(Wires!$F$2:$F$1000,N116)&amp;":"&amp;INDEX(Wires!$G$2:$G$1000,N116),INDEX(Wires!$D$2:$D$1000,N116)&amp;":"&amp;INDEX(Wires!$E$2:$E$1000,N116)))</f>
        <v/>
      </c>
      <c r="I116" s="11">
        <f>IF(N116="","",INDEX(Wires!$H$2:$H$1000,N116)&amp;"")</f>
        <v/>
      </c>
      <c r="J116" s="11">
        <f>IF(N116="","",IF(INDEX(Wires!$I$2:$I$1000,N116)="","",INDEX(Wires!$I$2:$I$1000,N116)))</f>
        <v/>
      </c>
      <c r="K116" s="11">
        <f>COUNTIF(Wires!$W$2:$W$1000,M116)+COUNTIF(Wires!$X$2:$X$1000,M116)</f>
        <v/>
      </c>
      <c r="L116" s="11">
        <f>IF(AND(K116=0,C116&lt;&gt;"",D116&lt;&gt;"NC"),"pino com sinal mas sem fio; ","")&amp;IF(AND(D116="NC",K116&gt;0),"pino NC com fio; ","")&amp;IF(AND(K116&gt;1,ISERROR(MATCH(IFERROR(INDEX(Connectors!$D$2:$D$1000,MATCH(A116,Connectors!$A$2:$A$1000,0)),""),{"SPLICE","STUD"},0))),"vários fios no mesmo pino; ","")</f>
        <v/>
      </c>
      <c r="M116" s="11">
        <f>A116&amp;":"&amp;B116&amp;IF(EXACT(B116,UPPER(B116)),"","|lc")</f>
        <v/>
      </c>
      <c r="N116" s="11">
        <f>IFERROR(MATCH(M116,Wires!$W$2:$W$1000,0),IFERROR(MATCH(M116,Wires!$X$2:$X$1000,0),""))</f>
        <v/>
      </c>
      <c r="O116" s="11">
        <f>IF(N116="","",IF(ISNUMBER(MATCH(M116,Wires!$W$2:$W$1000,0)),"from","to"))</f>
        <v/>
      </c>
    </row>
    <row r="117">
      <c r="A117" s="9" t="inlineStr">
        <is>
          <t>AMS J11</t>
        </is>
      </c>
      <c r="B117" s="9" t="inlineStr">
        <is>
          <t>1</t>
        </is>
      </c>
      <c r="C117" s="9" t="inlineStr">
        <is>
          <t>Pre_SDC</t>
        </is>
      </c>
      <c r="D117" s="9" t="inlineStr">
        <is>
          <t>OUT</t>
        </is>
      </c>
      <c r="E117" s="9" t="inlineStr">
        <is>
          <t>24V</t>
        </is>
      </c>
      <c r="F117" s="11">
        <f>IF(N117="","",INDEX(Wires!$A$2:$A$1000,N117))</f>
        <v/>
      </c>
      <c r="G117" s="11">
        <f>IF(N117="","",INDEX(Wires!$C$2:$C$1000,N117))</f>
        <v/>
      </c>
      <c r="H117" s="11">
        <f>IF(N117="","",IF(O117="from",INDEX(Wires!$F$2:$F$1000,N117)&amp;":"&amp;INDEX(Wires!$G$2:$G$1000,N117),INDEX(Wires!$D$2:$D$1000,N117)&amp;":"&amp;INDEX(Wires!$E$2:$E$1000,N117)))</f>
        <v/>
      </c>
      <c r="I117" s="11">
        <f>IF(N117="","",INDEX(Wires!$H$2:$H$1000,N117)&amp;"")</f>
        <v/>
      </c>
      <c r="J117" s="11">
        <f>IF(N117="","",IF(INDEX(Wires!$I$2:$I$1000,N117)="","",INDEX(Wires!$I$2:$I$1000,N117)))</f>
        <v/>
      </c>
      <c r="K117" s="11">
        <f>COUNTIF(Wires!$W$2:$W$1000,M117)+COUNTIF(Wires!$X$2:$X$1000,M117)</f>
        <v/>
      </c>
      <c r="L117" s="11">
        <f>IF(AND(K117=0,C117&lt;&gt;"",D117&lt;&gt;"NC"),"pino com sinal mas sem fio; ","")&amp;IF(AND(D117="NC",K117&gt;0),"pino NC com fio; ","")&amp;IF(AND(K117&gt;1,ISERROR(MATCH(IFERROR(INDEX(Connectors!$D$2:$D$1000,MATCH(A117,Connectors!$A$2:$A$1000,0)),""),{"SPLICE","STUD"},0))),"vários fios no mesmo pino; ","")</f>
        <v/>
      </c>
      <c r="M117" s="11">
        <f>A117&amp;":"&amp;B117&amp;IF(EXACT(B117,UPPER(B117)),"","|lc")</f>
        <v/>
      </c>
      <c r="N117" s="11">
        <f>IFERROR(MATCH(M117,Wires!$W$2:$W$1000,0),IFERROR(MATCH(M117,Wires!$X$2:$X$1000,0),""))</f>
        <v/>
      </c>
      <c r="O117" s="11">
        <f>IF(N117="","",IF(ISNUMBER(MATCH(M117,Wires!$W$2:$W$1000,0)),"from","to"))</f>
        <v/>
      </c>
    </row>
    <row r="118">
      <c r="A118" s="9" t="inlineStr">
        <is>
          <t>AMS J11</t>
        </is>
      </c>
      <c r="B118" s="9" t="inlineStr">
        <is>
          <t>2</t>
        </is>
      </c>
      <c r="C118" s="9" t="inlineStr">
        <is>
          <t>Dis_SDC</t>
        </is>
      </c>
      <c r="D118" s="9" t="inlineStr">
        <is>
          <t>OUT</t>
        </is>
      </c>
      <c r="E118" s="9" t="inlineStr">
        <is>
          <t>24V</t>
        </is>
      </c>
      <c r="F118" s="11">
        <f>IF(N118="","",INDEX(Wires!$A$2:$A$1000,N118))</f>
        <v/>
      </c>
      <c r="G118" s="11">
        <f>IF(N118="","",INDEX(Wires!$C$2:$C$1000,N118))</f>
        <v/>
      </c>
      <c r="H118" s="11">
        <f>IF(N118="","",IF(O118="from",INDEX(Wires!$F$2:$F$1000,N118)&amp;":"&amp;INDEX(Wires!$G$2:$G$1000,N118),INDEX(Wires!$D$2:$D$1000,N118)&amp;":"&amp;INDEX(Wires!$E$2:$E$1000,N118)))</f>
        <v/>
      </c>
      <c r="I118" s="11">
        <f>IF(N118="","",INDEX(Wires!$H$2:$H$1000,N118)&amp;"")</f>
        <v/>
      </c>
      <c r="J118" s="11">
        <f>IF(N118="","",IF(INDEX(Wires!$I$2:$I$1000,N118)="","",INDEX(Wires!$I$2:$I$1000,N118)))</f>
        <v/>
      </c>
      <c r="K118" s="11">
        <f>COUNTIF(Wires!$W$2:$W$1000,M118)+COUNTIF(Wires!$X$2:$X$1000,M118)</f>
        <v/>
      </c>
      <c r="L118" s="11">
        <f>IF(AND(K118=0,C118&lt;&gt;"",D118&lt;&gt;"NC"),"pino com sinal mas sem fio; ","")&amp;IF(AND(D118="NC",K118&gt;0),"pino NC com fio; ","")&amp;IF(AND(K118&gt;1,ISERROR(MATCH(IFERROR(INDEX(Connectors!$D$2:$D$1000,MATCH(A118,Connectors!$A$2:$A$1000,0)),""),{"SPLICE","STUD"},0))),"vários fios no mesmo pino; ","")</f>
        <v/>
      </c>
      <c r="M118" s="11">
        <f>A118&amp;":"&amp;B118&amp;IF(EXACT(B118,UPPER(B118)),"","|lc")</f>
        <v/>
      </c>
      <c r="N118" s="11">
        <f>IFERROR(MATCH(M118,Wires!$W$2:$W$1000,0),IFERROR(MATCH(M118,Wires!$X$2:$X$1000,0),""))</f>
        <v/>
      </c>
      <c r="O118" s="11">
        <f>IF(N118="","",IF(ISNUMBER(MATCH(M118,Wires!$W$2:$W$1000,0)),"from","to"))</f>
        <v/>
      </c>
    </row>
    <row r="119">
      <c r="A119" s="9" t="inlineStr">
        <is>
          <t>AMS J11</t>
        </is>
      </c>
      <c r="B119" s="9" t="inlineStr">
        <is>
          <t>3</t>
        </is>
      </c>
      <c r="C119" s="9" t="inlineStr">
        <is>
          <t>AIR-_SDC</t>
        </is>
      </c>
      <c r="D119" s="9" t="inlineStr">
        <is>
          <t>OUT</t>
        </is>
      </c>
      <c r="E119" s="9" t="inlineStr">
        <is>
          <t>24V</t>
        </is>
      </c>
      <c r="F119" s="11">
        <f>IF(N119="","",INDEX(Wires!$A$2:$A$1000,N119))</f>
        <v/>
      </c>
      <c r="G119" s="11">
        <f>IF(N119="","",INDEX(Wires!$C$2:$C$1000,N119))</f>
        <v/>
      </c>
      <c r="H119" s="11">
        <f>IF(N119="","",IF(O119="from",INDEX(Wires!$F$2:$F$1000,N119)&amp;":"&amp;INDEX(Wires!$G$2:$G$1000,N119),INDEX(Wires!$D$2:$D$1000,N119)&amp;":"&amp;INDEX(Wires!$E$2:$E$1000,N119)))</f>
        <v/>
      </c>
      <c r="I119" s="11">
        <f>IF(N119="","",INDEX(Wires!$H$2:$H$1000,N119)&amp;"")</f>
        <v/>
      </c>
      <c r="J119" s="11">
        <f>IF(N119="","",IF(INDEX(Wires!$I$2:$I$1000,N119)="","",INDEX(Wires!$I$2:$I$1000,N119)))</f>
        <v/>
      </c>
      <c r="K119" s="11">
        <f>COUNTIF(Wires!$W$2:$W$1000,M119)+COUNTIF(Wires!$X$2:$X$1000,M119)</f>
        <v/>
      </c>
      <c r="L119" s="11">
        <f>IF(AND(K119=0,C119&lt;&gt;"",D119&lt;&gt;"NC"),"pino com sinal mas sem fio; ","")&amp;IF(AND(D119="NC",K119&gt;0),"pino NC com fio; ","")&amp;IF(AND(K119&gt;1,ISERROR(MATCH(IFERROR(INDEX(Connectors!$D$2:$D$1000,MATCH(A119,Connectors!$A$2:$A$1000,0)),""),{"SPLICE","STUD"},0))),"vários fios no mesmo pino; ","")</f>
        <v/>
      </c>
      <c r="M119" s="11">
        <f>A119&amp;":"&amp;B119&amp;IF(EXACT(B119,UPPER(B119)),"","|lc")</f>
        <v/>
      </c>
      <c r="N119" s="11">
        <f>IFERROR(MATCH(M119,Wires!$W$2:$W$1000,0),IFERROR(MATCH(M119,Wires!$X$2:$X$1000,0),""))</f>
        <v/>
      </c>
      <c r="O119" s="11">
        <f>IF(N119="","",IF(ISNUMBER(MATCH(M119,Wires!$W$2:$W$1000,0)),"from","to"))</f>
        <v/>
      </c>
    </row>
    <row r="120">
      <c r="A120" s="9" t="inlineStr">
        <is>
          <t>AMS J11</t>
        </is>
      </c>
      <c r="B120" s="9" t="inlineStr">
        <is>
          <t>4</t>
        </is>
      </c>
      <c r="C120" s="9" t="inlineStr">
        <is>
          <t>ISA_GND</t>
        </is>
      </c>
      <c r="D120" s="9" t="inlineStr">
        <is>
          <t>GND</t>
        </is>
      </c>
      <c r="E120" s="9" t="inlineStr">
        <is>
          <t>0V</t>
        </is>
      </c>
      <c r="F120" s="11">
        <f>IF(N120="","",INDEX(Wires!$A$2:$A$1000,N120))</f>
        <v/>
      </c>
      <c r="G120" s="11">
        <f>IF(N120="","",INDEX(Wires!$C$2:$C$1000,N120))</f>
        <v/>
      </c>
      <c r="H120" s="11">
        <f>IF(N120="","",IF(O120="from",INDEX(Wires!$F$2:$F$1000,N120)&amp;":"&amp;INDEX(Wires!$G$2:$G$1000,N120),INDEX(Wires!$D$2:$D$1000,N120)&amp;":"&amp;INDEX(Wires!$E$2:$E$1000,N120)))</f>
        <v/>
      </c>
      <c r="I120" s="11">
        <f>IF(N120="","",INDEX(Wires!$H$2:$H$1000,N120)&amp;"")</f>
        <v/>
      </c>
      <c r="J120" s="11">
        <f>IF(N120="","",IF(INDEX(Wires!$I$2:$I$1000,N120)="","",INDEX(Wires!$I$2:$I$1000,N120)))</f>
        <v/>
      </c>
      <c r="K120" s="11">
        <f>COUNTIF(Wires!$W$2:$W$1000,M120)+COUNTIF(Wires!$X$2:$X$1000,M120)</f>
        <v/>
      </c>
      <c r="L120" s="11">
        <f>IF(AND(K120=0,C120&lt;&gt;"",D120&lt;&gt;"NC"),"pino com sinal mas sem fio; ","")&amp;IF(AND(D120="NC",K120&gt;0),"pino NC com fio; ","")&amp;IF(AND(K120&gt;1,ISERROR(MATCH(IFERROR(INDEX(Connectors!$D$2:$D$1000,MATCH(A120,Connectors!$A$2:$A$1000,0)),""),{"SPLICE","STUD"},0))),"vários fios no mesmo pino; ","")</f>
        <v/>
      </c>
      <c r="M120" s="11">
        <f>A120&amp;":"&amp;B120&amp;IF(EXACT(B120,UPPER(B120)),"","|lc")</f>
        <v/>
      </c>
      <c r="N120" s="11">
        <f>IFERROR(MATCH(M120,Wires!$W$2:$W$1000,0),IFERROR(MATCH(M120,Wires!$X$2:$X$1000,0),""))</f>
        <v/>
      </c>
      <c r="O120" s="11">
        <f>IF(N120="","",IF(ISNUMBER(MATCH(M120,Wires!$W$2:$W$1000,0)),"from","to"))</f>
        <v/>
      </c>
    </row>
    <row r="121">
      <c r="A121" s="9" t="inlineStr">
        <is>
          <t>AMS J11</t>
        </is>
      </c>
      <c r="B121" s="9" t="inlineStr">
        <is>
          <t>5</t>
        </is>
      </c>
      <c r="C121" s="9" t="inlineStr">
        <is>
          <t>F Fan Out</t>
        </is>
      </c>
      <c r="D121" s="9" t="inlineStr">
        <is>
          <t>OUT</t>
        </is>
      </c>
      <c r="E121" s="9" t="inlineStr">
        <is>
          <t>24V</t>
        </is>
      </c>
      <c r="F121" s="11">
        <f>IF(N121="","",INDEX(Wires!$A$2:$A$1000,N121))</f>
        <v/>
      </c>
      <c r="G121" s="11">
        <f>IF(N121="","",INDEX(Wires!$C$2:$C$1000,N121))</f>
        <v/>
      </c>
      <c r="H121" s="11">
        <f>IF(N121="","",IF(O121="from",INDEX(Wires!$F$2:$F$1000,N121)&amp;":"&amp;INDEX(Wires!$G$2:$G$1000,N121),INDEX(Wires!$D$2:$D$1000,N121)&amp;":"&amp;INDEX(Wires!$E$2:$E$1000,N121)))</f>
        <v/>
      </c>
      <c r="I121" s="11">
        <f>IF(N121="","",INDEX(Wires!$H$2:$H$1000,N121)&amp;"")</f>
        <v/>
      </c>
      <c r="J121" s="11">
        <f>IF(N121="","",IF(INDEX(Wires!$I$2:$I$1000,N121)="","",INDEX(Wires!$I$2:$I$1000,N121)))</f>
        <v/>
      </c>
      <c r="K121" s="11">
        <f>COUNTIF(Wires!$W$2:$W$1000,M121)+COUNTIF(Wires!$X$2:$X$1000,M121)</f>
        <v/>
      </c>
      <c r="L121" s="11">
        <f>IF(AND(K121=0,C121&lt;&gt;"",D121&lt;&gt;"NC"),"pino com sinal mas sem fio; ","")&amp;IF(AND(D121="NC",K121&gt;0),"pino NC com fio; ","")&amp;IF(AND(K121&gt;1,ISERROR(MATCH(IFERROR(INDEX(Connectors!$D$2:$D$1000,MATCH(A121,Connectors!$A$2:$A$1000,0)),""),{"SPLICE","STUD"},0))),"vários fios no mesmo pino; ","")</f>
        <v/>
      </c>
      <c r="M121" s="11">
        <f>A121&amp;":"&amp;B121&amp;IF(EXACT(B121,UPPER(B121)),"","|lc")</f>
        <v/>
      </c>
      <c r="N121" s="11">
        <f>IFERROR(MATCH(M121,Wires!$W$2:$W$1000,0),IFERROR(MATCH(M121,Wires!$X$2:$X$1000,0),""))</f>
        <v/>
      </c>
      <c r="O121" s="11">
        <f>IF(N121="","",IF(ISNUMBER(MATCH(M121,Wires!$W$2:$W$1000,0)),"from","to"))</f>
        <v/>
      </c>
    </row>
    <row r="122">
      <c r="A122" s="9" t="inlineStr">
        <is>
          <t>AMS J11</t>
        </is>
      </c>
      <c r="B122" s="9" t="inlineStr">
        <is>
          <t>6</t>
        </is>
      </c>
      <c r="C122" s="9" t="inlineStr">
        <is>
          <t>R Fan Out</t>
        </is>
      </c>
      <c r="D122" s="9" t="inlineStr">
        <is>
          <t>OUT</t>
        </is>
      </c>
      <c r="E122" s="9" t="inlineStr">
        <is>
          <t>24V</t>
        </is>
      </c>
      <c r="F122" s="11">
        <f>IF(N122="","",INDEX(Wires!$A$2:$A$1000,N122))</f>
        <v/>
      </c>
      <c r="G122" s="11">
        <f>IF(N122="","",INDEX(Wires!$C$2:$C$1000,N122))</f>
        <v/>
      </c>
      <c r="H122" s="11">
        <f>IF(N122="","",IF(O122="from",INDEX(Wires!$F$2:$F$1000,N122)&amp;":"&amp;INDEX(Wires!$G$2:$G$1000,N122),INDEX(Wires!$D$2:$D$1000,N122)&amp;":"&amp;INDEX(Wires!$E$2:$E$1000,N122)))</f>
        <v/>
      </c>
      <c r="I122" s="11">
        <f>IF(N122="","",INDEX(Wires!$H$2:$H$1000,N122)&amp;"")</f>
        <v/>
      </c>
      <c r="J122" s="11">
        <f>IF(N122="","",IF(INDEX(Wires!$I$2:$I$1000,N122)="","",INDEX(Wires!$I$2:$I$1000,N122)))</f>
        <v/>
      </c>
      <c r="K122" s="11">
        <f>COUNTIF(Wires!$W$2:$W$1000,M122)+COUNTIF(Wires!$X$2:$X$1000,M122)</f>
        <v/>
      </c>
      <c r="L122" s="11">
        <f>IF(AND(K122=0,C122&lt;&gt;"",D122&lt;&gt;"NC"),"pino com sinal mas sem fio; ","")&amp;IF(AND(D122="NC",K122&gt;0),"pino NC com fio; ","")&amp;IF(AND(K122&gt;1,ISERROR(MATCH(IFERROR(INDEX(Connectors!$D$2:$D$1000,MATCH(A122,Connectors!$A$2:$A$1000,0)),""),{"SPLICE","STUD"},0))),"vários fios no mesmo pino; ","")</f>
        <v/>
      </c>
      <c r="M122" s="11">
        <f>A122&amp;":"&amp;B122&amp;IF(EXACT(B122,UPPER(B122)),"","|lc")</f>
        <v/>
      </c>
      <c r="N122" s="11">
        <f>IFERROR(MATCH(M122,Wires!$W$2:$W$1000,0),IFERROR(MATCH(M122,Wires!$X$2:$X$1000,0),""))</f>
        <v/>
      </c>
      <c r="O122" s="11">
        <f>IF(N122="","",IF(ISNUMBER(MATCH(M122,Wires!$W$2:$W$1000,0)),"from","to"))</f>
        <v/>
      </c>
    </row>
    <row r="123">
      <c r="A123" s="9" t="inlineStr">
        <is>
          <t>AMS J11</t>
        </is>
      </c>
      <c r="B123" s="9" t="inlineStr">
        <is>
          <t>7</t>
        </is>
      </c>
      <c r="C123" s="9" t="n"/>
      <c r="D123" s="9" t="inlineStr">
        <is>
          <t>NC</t>
        </is>
      </c>
      <c r="E123" s="9" t="n"/>
      <c r="F123" s="11">
        <f>IF(N123="","",INDEX(Wires!$A$2:$A$1000,N123))</f>
        <v/>
      </c>
      <c r="G123" s="11">
        <f>IF(N123="","",INDEX(Wires!$C$2:$C$1000,N123))</f>
        <v/>
      </c>
      <c r="H123" s="11">
        <f>IF(N123="","",IF(O123="from",INDEX(Wires!$F$2:$F$1000,N123)&amp;":"&amp;INDEX(Wires!$G$2:$G$1000,N123),INDEX(Wires!$D$2:$D$1000,N123)&amp;":"&amp;INDEX(Wires!$E$2:$E$1000,N123)))</f>
        <v/>
      </c>
      <c r="I123" s="11">
        <f>IF(N123="","",INDEX(Wires!$H$2:$H$1000,N123)&amp;"")</f>
        <v/>
      </c>
      <c r="J123" s="11">
        <f>IF(N123="","",IF(INDEX(Wires!$I$2:$I$1000,N123)="","",INDEX(Wires!$I$2:$I$1000,N123)))</f>
        <v/>
      </c>
      <c r="K123" s="11">
        <f>COUNTIF(Wires!$W$2:$W$1000,M123)+COUNTIF(Wires!$X$2:$X$1000,M123)</f>
        <v/>
      </c>
      <c r="L123" s="11">
        <f>IF(AND(K123=0,C123&lt;&gt;"",D123&lt;&gt;"NC"),"pino com sinal mas sem fio; ","")&amp;IF(AND(D123="NC",K123&gt;0),"pino NC com fio; ","")&amp;IF(AND(K123&gt;1,ISERROR(MATCH(IFERROR(INDEX(Connectors!$D$2:$D$1000,MATCH(A123,Connectors!$A$2:$A$1000,0)),""),{"SPLICE","STUD"},0))),"vários fios no mesmo pino; ","")</f>
        <v/>
      </c>
      <c r="M123" s="11">
        <f>A123&amp;":"&amp;B123&amp;IF(EXACT(B123,UPPER(B123)),"","|lc")</f>
        <v/>
      </c>
      <c r="N123" s="11">
        <f>IFERROR(MATCH(M123,Wires!$W$2:$W$1000,0),IFERROR(MATCH(M123,Wires!$X$2:$X$1000,0),""))</f>
        <v/>
      </c>
      <c r="O123" s="11">
        <f>IF(N123="","",IF(ISNUMBER(MATCH(M123,Wires!$W$2:$W$1000,0)),"from","to"))</f>
        <v/>
      </c>
    </row>
    <row r="124">
      <c r="A124" s="9" t="inlineStr">
        <is>
          <t>AMS J11</t>
        </is>
      </c>
      <c r="B124" s="9" t="inlineStr">
        <is>
          <t>8</t>
        </is>
      </c>
      <c r="C124" s="9" t="n"/>
      <c r="D124" s="9" t="inlineStr">
        <is>
          <t>NC</t>
        </is>
      </c>
      <c r="E124" s="9" t="n"/>
      <c r="F124" s="11">
        <f>IF(N124="","",INDEX(Wires!$A$2:$A$1000,N124))</f>
        <v/>
      </c>
      <c r="G124" s="11">
        <f>IF(N124="","",INDEX(Wires!$C$2:$C$1000,N124))</f>
        <v/>
      </c>
      <c r="H124" s="11">
        <f>IF(N124="","",IF(O124="from",INDEX(Wires!$F$2:$F$1000,N124)&amp;":"&amp;INDEX(Wires!$G$2:$G$1000,N124),INDEX(Wires!$D$2:$D$1000,N124)&amp;":"&amp;INDEX(Wires!$E$2:$E$1000,N124)))</f>
        <v/>
      </c>
      <c r="I124" s="11">
        <f>IF(N124="","",INDEX(Wires!$H$2:$H$1000,N124)&amp;"")</f>
        <v/>
      </c>
      <c r="J124" s="11">
        <f>IF(N124="","",IF(INDEX(Wires!$I$2:$I$1000,N124)="","",INDEX(Wires!$I$2:$I$1000,N124)))</f>
        <v/>
      </c>
      <c r="K124" s="11">
        <f>COUNTIF(Wires!$W$2:$W$1000,M124)+COUNTIF(Wires!$X$2:$X$1000,M124)</f>
        <v/>
      </c>
      <c r="L124" s="11">
        <f>IF(AND(K124=0,C124&lt;&gt;"",D124&lt;&gt;"NC"),"pino com sinal mas sem fio; ","")&amp;IF(AND(D124="NC",K124&gt;0),"pino NC com fio; ","")&amp;IF(AND(K124&gt;1,ISERROR(MATCH(IFERROR(INDEX(Connectors!$D$2:$D$1000,MATCH(A124,Connectors!$A$2:$A$1000,0)),""),{"SPLICE","STUD"},0))),"vários fios no mesmo pino; ","")</f>
        <v/>
      </c>
      <c r="M124" s="11">
        <f>A124&amp;":"&amp;B124&amp;IF(EXACT(B124,UPPER(B124)),"","|lc")</f>
        <v/>
      </c>
      <c r="N124" s="11">
        <f>IFERROR(MATCH(M124,Wires!$W$2:$W$1000,0),IFERROR(MATCH(M124,Wires!$X$2:$X$1000,0),""))</f>
        <v/>
      </c>
      <c r="O124" s="11">
        <f>IF(N124="","",IF(ISNUMBER(MATCH(M124,Wires!$W$2:$W$1000,0)),"from","to"))</f>
        <v/>
      </c>
    </row>
    <row r="125">
      <c r="A125" s="9" t="inlineStr">
        <is>
          <t>AMS J11</t>
        </is>
      </c>
      <c r="B125" s="9" t="inlineStr">
        <is>
          <t>9</t>
        </is>
      </c>
      <c r="C125" s="9" t="inlineStr">
        <is>
          <t>TSMS_SDC</t>
        </is>
      </c>
      <c r="D125" s="9" t="inlineStr">
        <is>
          <t>IN</t>
        </is>
      </c>
      <c r="E125" s="9" t="inlineStr">
        <is>
          <t>24V</t>
        </is>
      </c>
      <c r="F125" s="11">
        <f>IF(N125="","",INDEX(Wires!$A$2:$A$1000,N125))</f>
        <v/>
      </c>
      <c r="G125" s="11">
        <f>IF(N125="","",INDEX(Wires!$C$2:$C$1000,N125))</f>
        <v/>
      </c>
      <c r="H125" s="11">
        <f>IF(N125="","",IF(O125="from",INDEX(Wires!$F$2:$F$1000,N125)&amp;":"&amp;INDEX(Wires!$G$2:$G$1000,N125),INDEX(Wires!$D$2:$D$1000,N125)&amp;":"&amp;INDEX(Wires!$E$2:$E$1000,N125)))</f>
        <v/>
      </c>
      <c r="I125" s="11">
        <f>IF(N125="","",INDEX(Wires!$H$2:$H$1000,N125)&amp;"")</f>
        <v/>
      </c>
      <c r="J125" s="11">
        <f>IF(N125="","",IF(INDEX(Wires!$I$2:$I$1000,N125)="","",INDEX(Wires!$I$2:$I$1000,N125)))</f>
        <v/>
      </c>
      <c r="K125" s="11">
        <f>COUNTIF(Wires!$W$2:$W$1000,M125)+COUNTIF(Wires!$X$2:$X$1000,M125)</f>
        <v/>
      </c>
      <c r="L125" s="11">
        <f>IF(AND(K125=0,C125&lt;&gt;"",D125&lt;&gt;"NC"),"pino com sinal mas sem fio; ","")&amp;IF(AND(D125="NC",K125&gt;0),"pino NC com fio; ","")&amp;IF(AND(K125&gt;1,ISERROR(MATCH(IFERROR(INDEX(Connectors!$D$2:$D$1000,MATCH(A125,Connectors!$A$2:$A$1000,0)),""),{"SPLICE","STUD"},0))),"vários fios no mesmo pino; ","")</f>
        <v/>
      </c>
      <c r="M125" s="11">
        <f>A125&amp;":"&amp;B125&amp;IF(EXACT(B125,UPPER(B125)),"","|lc")</f>
        <v/>
      </c>
      <c r="N125" s="11">
        <f>IFERROR(MATCH(M125,Wires!$W$2:$W$1000,0),IFERROR(MATCH(M125,Wires!$X$2:$X$1000,0),""))</f>
        <v/>
      </c>
      <c r="O125" s="11">
        <f>IF(N125="","",IF(ISNUMBER(MATCH(M125,Wires!$W$2:$W$1000,0)),"from","to"))</f>
        <v/>
      </c>
    </row>
    <row r="126">
      <c r="A126" s="9" t="inlineStr">
        <is>
          <t>AMS J11</t>
        </is>
      </c>
      <c r="B126" s="9" t="inlineStr">
        <is>
          <t>10</t>
        </is>
      </c>
      <c r="C126" s="9" t="inlineStr">
        <is>
          <t>Air+_SDC</t>
        </is>
      </c>
      <c r="D126" s="9" t="inlineStr">
        <is>
          <t>OUT</t>
        </is>
      </c>
      <c r="E126" s="9" t="inlineStr">
        <is>
          <t>24V</t>
        </is>
      </c>
      <c r="F126" s="11">
        <f>IF(N126="","",INDEX(Wires!$A$2:$A$1000,N126))</f>
        <v/>
      </c>
      <c r="G126" s="11">
        <f>IF(N126="","",INDEX(Wires!$C$2:$C$1000,N126))</f>
        <v/>
      </c>
      <c r="H126" s="11">
        <f>IF(N126="","",IF(O126="from",INDEX(Wires!$F$2:$F$1000,N126)&amp;":"&amp;INDEX(Wires!$G$2:$G$1000,N126),INDEX(Wires!$D$2:$D$1000,N126)&amp;":"&amp;INDEX(Wires!$E$2:$E$1000,N126)))</f>
        <v/>
      </c>
      <c r="I126" s="11">
        <f>IF(N126="","",INDEX(Wires!$H$2:$H$1000,N126)&amp;"")</f>
        <v/>
      </c>
      <c r="J126" s="11">
        <f>IF(N126="","",IF(INDEX(Wires!$I$2:$I$1000,N126)="","",INDEX(Wires!$I$2:$I$1000,N126)))</f>
        <v/>
      </c>
      <c r="K126" s="11">
        <f>COUNTIF(Wires!$W$2:$W$1000,M126)+COUNTIF(Wires!$X$2:$X$1000,M126)</f>
        <v/>
      </c>
      <c r="L126" s="11">
        <f>IF(AND(K126=0,C126&lt;&gt;"",D126&lt;&gt;"NC"),"pino com sinal mas sem fio; ","")&amp;IF(AND(D126="NC",K126&gt;0),"pino NC com fio; ","")&amp;IF(AND(K126&gt;1,ISERROR(MATCH(IFERROR(INDEX(Connectors!$D$2:$D$1000,MATCH(A126,Connectors!$A$2:$A$1000,0)),""),{"SPLICE","STUD"},0))),"vários fios no mesmo pino; ","")</f>
        <v/>
      </c>
      <c r="M126" s="11">
        <f>A126&amp;":"&amp;B126&amp;IF(EXACT(B126,UPPER(B126)),"","|lc")</f>
        <v/>
      </c>
      <c r="N126" s="11">
        <f>IFERROR(MATCH(M126,Wires!$W$2:$W$1000,0),IFERROR(MATCH(M126,Wires!$X$2:$X$1000,0),""))</f>
        <v/>
      </c>
      <c r="O126" s="11">
        <f>IF(N126="","",IF(ISNUMBER(MATCH(M126,Wires!$W$2:$W$1000,0)),"from","to"))</f>
        <v/>
      </c>
    </row>
    <row r="127">
      <c r="A127" s="9" t="inlineStr">
        <is>
          <t>AMS J11</t>
        </is>
      </c>
      <c r="B127" s="9" t="inlineStr">
        <is>
          <t>11</t>
        </is>
      </c>
      <c r="C127" s="9" t="n"/>
      <c r="D127" s="9" t="inlineStr">
        <is>
          <t>NC</t>
        </is>
      </c>
      <c r="E127" s="9" t="n"/>
      <c r="F127" s="11">
        <f>IF(N127="","",INDEX(Wires!$A$2:$A$1000,N127))</f>
        <v/>
      </c>
      <c r="G127" s="11">
        <f>IF(N127="","",INDEX(Wires!$C$2:$C$1000,N127))</f>
        <v/>
      </c>
      <c r="H127" s="11">
        <f>IF(N127="","",IF(O127="from",INDEX(Wires!$F$2:$F$1000,N127)&amp;":"&amp;INDEX(Wires!$G$2:$G$1000,N127),INDEX(Wires!$D$2:$D$1000,N127)&amp;":"&amp;INDEX(Wires!$E$2:$E$1000,N127)))</f>
        <v/>
      </c>
      <c r="I127" s="11">
        <f>IF(N127="","",INDEX(Wires!$H$2:$H$1000,N127)&amp;"")</f>
        <v/>
      </c>
      <c r="J127" s="11">
        <f>IF(N127="","",IF(INDEX(Wires!$I$2:$I$1000,N127)="","",INDEX(Wires!$I$2:$I$1000,N127)))</f>
        <v/>
      </c>
      <c r="K127" s="11">
        <f>COUNTIF(Wires!$W$2:$W$1000,M127)+COUNTIF(Wires!$X$2:$X$1000,M127)</f>
        <v/>
      </c>
      <c r="L127" s="11">
        <f>IF(AND(K127=0,C127&lt;&gt;"",D127&lt;&gt;"NC"),"pino com sinal mas sem fio; ","")&amp;IF(AND(D127="NC",K127&gt;0),"pino NC com fio; ","")&amp;IF(AND(K127&gt;1,ISERROR(MATCH(IFERROR(INDEX(Connectors!$D$2:$D$1000,MATCH(A127,Connectors!$A$2:$A$1000,0)),""),{"SPLICE","STUD"},0))),"vários fios no mesmo pino; ","")</f>
        <v/>
      </c>
      <c r="M127" s="11">
        <f>A127&amp;":"&amp;B127&amp;IF(EXACT(B127,UPPER(B127)),"","|lc")</f>
        <v/>
      </c>
      <c r="N127" s="11">
        <f>IFERROR(MATCH(M127,Wires!$W$2:$W$1000,0),IFERROR(MATCH(M127,Wires!$X$2:$X$1000,0),""))</f>
        <v/>
      </c>
      <c r="O127" s="11">
        <f>IF(N127="","",IF(ISNUMBER(MATCH(M127,Wires!$W$2:$W$1000,0)),"from","to"))</f>
        <v/>
      </c>
    </row>
    <row r="128">
      <c r="A128" s="9" t="inlineStr">
        <is>
          <t>AMS J11</t>
        </is>
      </c>
      <c r="B128" s="9" t="inlineStr">
        <is>
          <t>12</t>
        </is>
      </c>
      <c r="C128" s="9" t="inlineStr">
        <is>
          <t>ISA_+24V</t>
        </is>
      </c>
      <c r="D128" s="9" t="inlineStr">
        <is>
          <t>VCC</t>
        </is>
      </c>
      <c r="E128" s="9" t="inlineStr">
        <is>
          <t>24V</t>
        </is>
      </c>
      <c r="F128" s="11">
        <f>IF(N128="","",INDEX(Wires!$A$2:$A$1000,N128))</f>
        <v/>
      </c>
      <c r="G128" s="11">
        <f>IF(N128="","",INDEX(Wires!$C$2:$C$1000,N128))</f>
        <v/>
      </c>
      <c r="H128" s="11">
        <f>IF(N128="","",IF(O128="from",INDEX(Wires!$F$2:$F$1000,N128)&amp;":"&amp;INDEX(Wires!$G$2:$G$1000,N128),INDEX(Wires!$D$2:$D$1000,N128)&amp;":"&amp;INDEX(Wires!$E$2:$E$1000,N128)))</f>
        <v/>
      </c>
      <c r="I128" s="11">
        <f>IF(N128="","",INDEX(Wires!$H$2:$H$1000,N128)&amp;"")</f>
        <v/>
      </c>
      <c r="J128" s="11">
        <f>IF(N128="","",IF(INDEX(Wires!$I$2:$I$1000,N128)="","",INDEX(Wires!$I$2:$I$1000,N128)))</f>
        <v/>
      </c>
      <c r="K128" s="11">
        <f>COUNTIF(Wires!$W$2:$W$1000,M128)+COUNTIF(Wires!$X$2:$X$1000,M128)</f>
        <v/>
      </c>
      <c r="L128" s="11">
        <f>IF(AND(K128=0,C128&lt;&gt;"",D128&lt;&gt;"NC"),"pino com sinal mas sem fio; ","")&amp;IF(AND(D128="NC",K128&gt;0),"pino NC com fio; ","")&amp;IF(AND(K128&gt;1,ISERROR(MATCH(IFERROR(INDEX(Connectors!$D$2:$D$1000,MATCH(A128,Connectors!$A$2:$A$1000,0)),""),{"SPLICE","STUD"},0))),"vários fios no mesmo pino; ","")</f>
        <v/>
      </c>
      <c r="M128" s="11">
        <f>A128&amp;":"&amp;B128&amp;IF(EXACT(B128,UPPER(B128)),"","|lc")</f>
        <v/>
      </c>
      <c r="N128" s="11">
        <f>IFERROR(MATCH(M128,Wires!$W$2:$W$1000,0),IFERROR(MATCH(M128,Wires!$X$2:$X$1000,0),""))</f>
        <v/>
      </c>
      <c r="O128" s="11">
        <f>IF(N128="","",IF(ISNUMBER(MATCH(M128,Wires!$W$2:$W$1000,0)),"from","to"))</f>
        <v/>
      </c>
    </row>
    <row r="129">
      <c r="A129" s="9" t="inlineStr">
        <is>
          <t>AMS J11</t>
        </is>
      </c>
      <c r="B129" s="9" t="inlineStr">
        <is>
          <t>13</t>
        </is>
      </c>
      <c r="C129" s="9" t="inlineStr">
        <is>
          <t>Pre_Trigg</t>
        </is>
      </c>
      <c r="D129" s="9" t="inlineStr">
        <is>
          <t>OUT</t>
        </is>
      </c>
      <c r="E129" s="9" t="inlineStr">
        <is>
          <t>24V</t>
        </is>
      </c>
      <c r="F129" s="11">
        <f>IF(N129="","",INDEX(Wires!$A$2:$A$1000,N129))</f>
        <v/>
      </c>
      <c r="G129" s="11">
        <f>IF(N129="","",INDEX(Wires!$C$2:$C$1000,N129))</f>
        <v/>
      </c>
      <c r="H129" s="11">
        <f>IF(N129="","",IF(O129="from",INDEX(Wires!$F$2:$F$1000,N129)&amp;":"&amp;INDEX(Wires!$G$2:$G$1000,N129),INDEX(Wires!$D$2:$D$1000,N129)&amp;":"&amp;INDEX(Wires!$E$2:$E$1000,N129)))</f>
        <v/>
      </c>
      <c r="I129" s="11">
        <f>IF(N129="","",INDEX(Wires!$H$2:$H$1000,N129)&amp;"")</f>
        <v/>
      </c>
      <c r="J129" s="11">
        <f>IF(N129="","",IF(INDEX(Wires!$I$2:$I$1000,N129)="","",INDEX(Wires!$I$2:$I$1000,N129)))</f>
        <v/>
      </c>
      <c r="K129" s="11">
        <f>COUNTIF(Wires!$W$2:$W$1000,M129)+COUNTIF(Wires!$X$2:$X$1000,M129)</f>
        <v/>
      </c>
      <c r="L129" s="11">
        <f>IF(AND(K129=0,C129&lt;&gt;"",D129&lt;&gt;"NC"),"pino com sinal mas sem fio; ","")&amp;IF(AND(D129="NC",K129&gt;0),"pino NC com fio; ","")&amp;IF(AND(K129&gt;1,ISERROR(MATCH(IFERROR(INDEX(Connectors!$D$2:$D$1000,MATCH(A129,Connectors!$A$2:$A$1000,0)),""),{"SPLICE","STUD"},0))),"vários fios no mesmo pino; ","")</f>
        <v/>
      </c>
      <c r="M129" s="11">
        <f>A129&amp;":"&amp;B129&amp;IF(EXACT(B129,UPPER(B129)),"","|lc")</f>
        <v/>
      </c>
      <c r="N129" s="11">
        <f>IFERROR(MATCH(M129,Wires!$W$2:$W$1000,0),IFERROR(MATCH(M129,Wires!$X$2:$X$1000,0),""))</f>
        <v/>
      </c>
      <c r="O129" s="11">
        <f>IF(N129="","",IF(ISNUMBER(MATCH(M129,Wires!$W$2:$W$1000,0)),"from","to"))</f>
        <v/>
      </c>
    </row>
    <row r="130">
      <c r="A130" s="9" t="inlineStr">
        <is>
          <t>AMS J11</t>
        </is>
      </c>
      <c r="B130" s="9" t="inlineStr">
        <is>
          <t>14</t>
        </is>
      </c>
      <c r="C130" s="9" t="inlineStr">
        <is>
          <t>AIR+_Trigg</t>
        </is>
      </c>
      <c r="D130" s="9" t="inlineStr">
        <is>
          <t>OUT</t>
        </is>
      </c>
      <c r="E130" s="9" t="inlineStr">
        <is>
          <t>24V</t>
        </is>
      </c>
      <c r="F130" s="11">
        <f>IF(N130="","",INDEX(Wires!$A$2:$A$1000,N130))</f>
        <v/>
      </c>
      <c r="G130" s="11">
        <f>IF(N130="","",INDEX(Wires!$C$2:$C$1000,N130))</f>
        <v/>
      </c>
      <c r="H130" s="11">
        <f>IF(N130="","",IF(O130="from",INDEX(Wires!$F$2:$F$1000,N130)&amp;":"&amp;INDEX(Wires!$G$2:$G$1000,N130),INDEX(Wires!$D$2:$D$1000,N130)&amp;":"&amp;INDEX(Wires!$E$2:$E$1000,N130)))</f>
        <v/>
      </c>
      <c r="I130" s="11">
        <f>IF(N130="","",INDEX(Wires!$H$2:$H$1000,N130)&amp;"")</f>
        <v/>
      </c>
      <c r="J130" s="11">
        <f>IF(N130="","",IF(INDEX(Wires!$I$2:$I$1000,N130)="","",INDEX(Wires!$I$2:$I$1000,N130)))</f>
        <v/>
      </c>
      <c r="K130" s="11">
        <f>COUNTIF(Wires!$W$2:$W$1000,M130)+COUNTIF(Wires!$X$2:$X$1000,M130)</f>
        <v/>
      </c>
      <c r="L130" s="11">
        <f>IF(AND(K130=0,C130&lt;&gt;"",D130&lt;&gt;"NC"),"pino com sinal mas sem fio; ","")&amp;IF(AND(D130="NC",K130&gt;0),"pino NC com fio; ","")&amp;IF(AND(K130&gt;1,ISERROR(MATCH(IFERROR(INDEX(Connectors!$D$2:$D$1000,MATCH(A130,Connectors!$A$2:$A$1000,0)),""),{"SPLICE","STUD"},0))),"vários fios no mesmo pino; ","")</f>
        <v/>
      </c>
      <c r="M130" s="11">
        <f>A130&amp;":"&amp;B130&amp;IF(EXACT(B130,UPPER(B130)),"","|lc")</f>
        <v/>
      </c>
      <c r="N130" s="11">
        <f>IFERROR(MATCH(M130,Wires!$W$2:$W$1000,0),IFERROR(MATCH(M130,Wires!$X$2:$X$1000,0),""))</f>
        <v/>
      </c>
      <c r="O130" s="11">
        <f>IF(N130="","",IF(ISNUMBER(MATCH(M130,Wires!$W$2:$W$1000,0)),"from","to"))</f>
        <v/>
      </c>
    </row>
    <row r="131">
      <c r="A131" s="9" t="inlineStr">
        <is>
          <t>AMS J11</t>
        </is>
      </c>
      <c r="B131" s="9" t="inlineStr">
        <is>
          <t>15</t>
        </is>
      </c>
      <c r="C131" s="9" t="inlineStr">
        <is>
          <t>AIR-_Trigg</t>
        </is>
      </c>
      <c r="D131" s="9" t="inlineStr">
        <is>
          <t>OUT</t>
        </is>
      </c>
      <c r="E131" s="9" t="inlineStr">
        <is>
          <t>24V</t>
        </is>
      </c>
      <c r="F131" s="11">
        <f>IF(N131="","",INDEX(Wires!$A$2:$A$1000,N131))</f>
        <v/>
      </c>
      <c r="G131" s="11">
        <f>IF(N131="","",INDEX(Wires!$C$2:$C$1000,N131))</f>
        <v/>
      </c>
      <c r="H131" s="11">
        <f>IF(N131="","",IF(O131="from",INDEX(Wires!$F$2:$F$1000,N131)&amp;":"&amp;INDEX(Wires!$G$2:$G$1000,N131),INDEX(Wires!$D$2:$D$1000,N131)&amp;":"&amp;INDEX(Wires!$E$2:$E$1000,N131)))</f>
        <v/>
      </c>
      <c r="I131" s="11">
        <f>IF(N131="","",INDEX(Wires!$H$2:$H$1000,N131)&amp;"")</f>
        <v/>
      </c>
      <c r="J131" s="11">
        <f>IF(N131="","",IF(INDEX(Wires!$I$2:$I$1000,N131)="","",INDEX(Wires!$I$2:$I$1000,N131)))</f>
        <v/>
      </c>
      <c r="K131" s="11">
        <f>COUNTIF(Wires!$W$2:$W$1000,M131)+COUNTIF(Wires!$X$2:$X$1000,M131)</f>
        <v/>
      </c>
      <c r="L131" s="11">
        <f>IF(AND(K131=0,C131&lt;&gt;"",D131&lt;&gt;"NC"),"pino com sinal mas sem fio; ","")&amp;IF(AND(D131="NC",K131&gt;0),"pino NC com fio; ","")&amp;IF(AND(K131&gt;1,ISERROR(MATCH(IFERROR(INDEX(Connectors!$D$2:$D$1000,MATCH(A131,Connectors!$A$2:$A$1000,0)),""),{"SPLICE","STUD"},0))),"vários fios no mesmo pino; ","")</f>
        <v/>
      </c>
      <c r="M131" s="11">
        <f>A131&amp;":"&amp;B131&amp;IF(EXACT(B131,UPPER(B131)),"","|lc")</f>
        <v/>
      </c>
      <c r="N131" s="11">
        <f>IFERROR(MATCH(M131,Wires!$W$2:$W$1000,0),IFERROR(MATCH(M131,Wires!$X$2:$X$1000,0),""))</f>
        <v/>
      </c>
      <c r="O131" s="11">
        <f>IF(N131="","",IF(ISNUMBER(MATCH(M131,Wires!$W$2:$W$1000,0)),"from","to"))</f>
        <v/>
      </c>
    </row>
    <row r="132">
      <c r="A132" s="9" t="inlineStr">
        <is>
          <t>AMS J11</t>
        </is>
      </c>
      <c r="B132" s="9" t="inlineStr">
        <is>
          <t>16</t>
        </is>
      </c>
      <c r="C132" s="9" t="inlineStr">
        <is>
          <t>Dis_Trigg</t>
        </is>
      </c>
      <c r="D132" s="9" t="inlineStr">
        <is>
          <t>OUT</t>
        </is>
      </c>
      <c r="E132" s="9" t="inlineStr">
        <is>
          <t>24V</t>
        </is>
      </c>
      <c r="F132" s="11">
        <f>IF(N132="","",INDEX(Wires!$A$2:$A$1000,N132))</f>
        <v/>
      </c>
      <c r="G132" s="11">
        <f>IF(N132="","",INDEX(Wires!$C$2:$C$1000,N132))</f>
        <v/>
      </c>
      <c r="H132" s="11">
        <f>IF(N132="","",IF(O132="from",INDEX(Wires!$F$2:$F$1000,N132)&amp;":"&amp;INDEX(Wires!$G$2:$G$1000,N132),INDEX(Wires!$D$2:$D$1000,N132)&amp;":"&amp;INDEX(Wires!$E$2:$E$1000,N132)))</f>
        <v/>
      </c>
      <c r="I132" s="11">
        <f>IF(N132="","",INDEX(Wires!$H$2:$H$1000,N132)&amp;"")</f>
        <v/>
      </c>
      <c r="J132" s="11">
        <f>IF(N132="","",IF(INDEX(Wires!$I$2:$I$1000,N132)="","",INDEX(Wires!$I$2:$I$1000,N132)))</f>
        <v/>
      </c>
      <c r="K132" s="11">
        <f>COUNTIF(Wires!$W$2:$W$1000,M132)+COUNTIF(Wires!$X$2:$X$1000,M132)</f>
        <v/>
      </c>
      <c r="L132" s="11">
        <f>IF(AND(K132=0,C132&lt;&gt;"",D132&lt;&gt;"NC"),"pino com sinal mas sem fio; ","")&amp;IF(AND(D132="NC",K132&gt;0),"pino NC com fio; ","")&amp;IF(AND(K132&gt;1,ISERROR(MATCH(IFERROR(INDEX(Connectors!$D$2:$D$1000,MATCH(A132,Connectors!$A$2:$A$1000,0)),""),{"SPLICE","STUD"},0))),"vários fios no mesmo pino; ","")</f>
        <v/>
      </c>
      <c r="M132" s="11">
        <f>A132&amp;":"&amp;B132&amp;IF(EXACT(B132,UPPER(B132)),"","|lc")</f>
        <v/>
      </c>
      <c r="N132" s="11">
        <f>IFERROR(MATCH(M132,Wires!$W$2:$W$1000,0),IFERROR(MATCH(M132,Wires!$X$2:$X$1000,0),""))</f>
        <v/>
      </c>
      <c r="O132" s="11">
        <f>IF(N132="","",IF(ISNUMBER(MATCH(M132,Wires!$W$2:$W$1000,0)),"from","to"))</f>
        <v/>
      </c>
    </row>
    <row r="133">
      <c r="A133" s="9" t="inlineStr">
        <is>
          <t>AMS J12</t>
        </is>
      </c>
      <c r="B133" s="9" t="inlineStr">
        <is>
          <t>1</t>
        </is>
      </c>
      <c r="C133" s="9" t="n"/>
      <c r="D133" s="9" t="inlineStr">
        <is>
          <t>NC</t>
        </is>
      </c>
      <c r="E133" s="9" t="n"/>
      <c r="F133" s="11">
        <f>IF(N133="","",INDEX(Wires!$A$2:$A$1000,N133))</f>
        <v/>
      </c>
      <c r="G133" s="11">
        <f>IF(N133="","",INDEX(Wires!$C$2:$C$1000,N133))</f>
        <v/>
      </c>
      <c r="H133" s="11">
        <f>IF(N133="","",IF(O133="from",INDEX(Wires!$F$2:$F$1000,N133)&amp;":"&amp;INDEX(Wires!$G$2:$G$1000,N133),INDEX(Wires!$D$2:$D$1000,N133)&amp;":"&amp;INDEX(Wires!$E$2:$E$1000,N133)))</f>
        <v/>
      </c>
      <c r="I133" s="11">
        <f>IF(N133="","",INDEX(Wires!$H$2:$H$1000,N133)&amp;"")</f>
        <v/>
      </c>
      <c r="J133" s="11">
        <f>IF(N133="","",IF(INDEX(Wires!$I$2:$I$1000,N133)="","",INDEX(Wires!$I$2:$I$1000,N133)))</f>
        <v/>
      </c>
      <c r="K133" s="11">
        <f>COUNTIF(Wires!$W$2:$W$1000,M133)+COUNTIF(Wires!$X$2:$X$1000,M133)</f>
        <v/>
      </c>
      <c r="L133" s="11">
        <f>IF(AND(K133=0,C133&lt;&gt;"",D133&lt;&gt;"NC"),"pino com sinal mas sem fio; ","")&amp;IF(AND(D133="NC",K133&gt;0),"pino NC com fio; ","")&amp;IF(AND(K133&gt;1,ISERROR(MATCH(IFERROR(INDEX(Connectors!$D$2:$D$1000,MATCH(A133,Connectors!$A$2:$A$1000,0)),""),{"SPLICE","STUD"},0))),"vários fios no mesmo pino; ","")</f>
        <v/>
      </c>
      <c r="M133" s="11">
        <f>A133&amp;":"&amp;B133&amp;IF(EXACT(B133,UPPER(B133)),"","|lc")</f>
        <v/>
      </c>
      <c r="N133" s="11">
        <f>IFERROR(MATCH(M133,Wires!$W$2:$W$1000,0),IFERROR(MATCH(M133,Wires!$X$2:$X$1000,0),""))</f>
        <v/>
      </c>
      <c r="O133" s="11">
        <f>IF(N133="","",IF(ISNUMBER(MATCH(M133,Wires!$W$2:$W$1000,0)),"from","to"))</f>
        <v/>
      </c>
    </row>
    <row r="134">
      <c r="A134" s="9" t="inlineStr">
        <is>
          <t>AMS J12</t>
        </is>
      </c>
      <c r="B134" s="9" t="inlineStr">
        <is>
          <t>2</t>
        </is>
      </c>
      <c r="C134" s="9" t="n"/>
      <c r="D134" s="9" t="inlineStr">
        <is>
          <t>NC</t>
        </is>
      </c>
      <c r="E134" s="9" t="n"/>
      <c r="F134" s="11">
        <f>IF(N134="","",INDEX(Wires!$A$2:$A$1000,N134))</f>
        <v/>
      </c>
      <c r="G134" s="11">
        <f>IF(N134="","",INDEX(Wires!$C$2:$C$1000,N134))</f>
        <v/>
      </c>
      <c r="H134" s="11">
        <f>IF(N134="","",IF(O134="from",INDEX(Wires!$F$2:$F$1000,N134)&amp;":"&amp;INDEX(Wires!$G$2:$G$1000,N134),INDEX(Wires!$D$2:$D$1000,N134)&amp;":"&amp;INDEX(Wires!$E$2:$E$1000,N134)))</f>
        <v/>
      </c>
      <c r="I134" s="11">
        <f>IF(N134="","",INDEX(Wires!$H$2:$H$1000,N134)&amp;"")</f>
        <v/>
      </c>
      <c r="J134" s="11">
        <f>IF(N134="","",IF(INDEX(Wires!$I$2:$I$1000,N134)="","",INDEX(Wires!$I$2:$I$1000,N134)))</f>
        <v/>
      </c>
      <c r="K134" s="11">
        <f>COUNTIF(Wires!$W$2:$W$1000,M134)+COUNTIF(Wires!$X$2:$X$1000,M134)</f>
        <v/>
      </c>
      <c r="L134" s="11">
        <f>IF(AND(K134=0,C134&lt;&gt;"",D134&lt;&gt;"NC"),"pino com sinal mas sem fio; ","")&amp;IF(AND(D134="NC",K134&gt;0),"pino NC com fio; ","")&amp;IF(AND(K134&gt;1,ISERROR(MATCH(IFERROR(INDEX(Connectors!$D$2:$D$1000,MATCH(A134,Connectors!$A$2:$A$1000,0)),""),{"SPLICE","STUD"},0))),"vários fios no mesmo pino; ","")</f>
        <v/>
      </c>
      <c r="M134" s="11">
        <f>A134&amp;":"&amp;B134&amp;IF(EXACT(B134,UPPER(B134)),"","|lc")</f>
        <v/>
      </c>
      <c r="N134" s="11">
        <f>IFERROR(MATCH(M134,Wires!$W$2:$W$1000,0),IFERROR(MATCH(M134,Wires!$X$2:$X$1000,0),""))</f>
        <v/>
      </c>
      <c r="O134" s="11">
        <f>IF(N134="","",IF(ISNUMBER(MATCH(M134,Wires!$W$2:$W$1000,0)),"from","to"))</f>
        <v/>
      </c>
    </row>
    <row r="135">
      <c r="A135" s="9" t="inlineStr">
        <is>
          <t>AMS J12</t>
        </is>
      </c>
      <c r="B135" s="9" t="inlineStr">
        <is>
          <t>3</t>
        </is>
      </c>
      <c r="C135" s="9" t="n"/>
      <c r="D135" s="9" t="inlineStr">
        <is>
          <t>NC</t>
        </is>
      </c>
      <c r="E135" s="9" t="n"/>
      <c r="F135" s="11">
        <f>IF(N135="","",INDEX(Wires!$A$2:$A$1000,N135))</f>
        <v/>
      </c>
      <c r="G135" s="11">
        <f>IF(N135="","",INDEX(Wires!$C$2:$C$1000,N135))</f>
        <v/>
      </c>
      <c r="H135" s="11">
        <f>IF(N135="","",IF(O135="from",INDEX(Wires!$F$2:$F$1000,N135)&amp;":"&amp;INDEX(Wires!$G$2:$G$1000,N135),INDEX(Wires!$D$2:$D$1000,N135)&amp;":"&amp;INDEX(Wires!$E$2:$E$1000,N135)))</f>
        <v/>
      </c>
      <c r="I135" s="11">
        <f>IF(N135="","",INDEX(Wires!$H$2:$H$1000,N135)&amp;"")</f>
        <v/>
      </c>
      <c r="J135" s="11">
        <f>IF(N135="","",IF(INDEX(Wires!$I$2:$I$1000,N135)="","",INDEX(Wires!$I$2:$I$1000,N135)))</f>
        <v/>
      </c>
      <c r="K135" s="11">
        <f>COUNTIF(Wires!$W$2:$W$1000,M135)+COUNTIF(Wires!$X$2:$X$1000,M135)</f>
        <v/>
      </c>
      <c r="L135" s="11">
        <f>IF(AND(K135=0,C135&lt;&gt;"",D135&lt;&gt;"NC"),"pino com sinal mas sem fio; ","")&amp;IF(AND(D135="NC",K135&gt;0),"pino NC com fio; ","")&amp;IF(AND(K135&gt;1,ISERROR(MATCH(IFERROR(INDEX(Connectors!$D$2:$D$1000,MATCH(A135,Connectors!$A$2:$A$1000,0)),""),{"SPLICE","STUD"},0))),"vários fios no mesmo pino; ","")</f>
        <v/>
      </c>
      <c r="M135" s="11">
        <f>A135&amp;":"&amp;B135&amp;IF(EXACT(B135,UPPER(B135)),"","|lc")</f>
        <v/>
      </c>
      <c r="N135" s="11">
        <f>IFERROR(MATCH(M135,Wires!$W$2:$W$1000,0),IFERROR(MATCH(M135,Wires!$X$2:$X$1000,0),""))</f>
        <v/>
      </c>
      <c r="O135" s="11">
        <f>IF(N135="","",IF(ISNUMBER(MATCH(M135,Wires!$W$2:$W$1000,0)),"from","to"))</f>
        <v/>
      </c>
    </row>
    <row r="136">
      <c r="A136" s="9" t="inlineStr">
        <is>
          <t>AMS J12</t>
        </is>
      </c>
      <c r="B136" s="9" t="inlineStr">
        <is>
          <t>4</t>
        </is>
      </c>
      <c r="C136" s="9" t="n"/>
      <c r="D136" s="9" t="inlineStr">
        <is>
          <t>NC</t>
        </is>
      </c>
      <c r="E136" s="9" t="n"/>
      <c r="F136" s="11">
        <f>IF(N136="","",INDEX(Wires!$A$2:$A$1000,N136))</f>
        <v/>
      </c>
      <c r="G136" s="11">
        <f>IF(N136="","",INDEX(Wires!$C$2:$C$1000,N136))</f>
        <v/>
      </c>
      <c r="H136" s="11">
        <f>IF(N136="","",IF(O136="from",INDEX(Wires!$F$2:$F$1000,N136)&amp;":"&amp;INDEX(Wires!$G$2:$G$1000,N136),INDEX(Wires!$D$2:$D$1000,N136)&amp;":"&amp;INDEX(Wires!$E$2:$E$1000,N136)))</f>
        <v/>
      </c>
      <c r="I136" s="11">
        <f>IF(N136="","",INDEX(Wires!$H$2:$H$1000,N136)&amp;"")</f>
        <v/>
      </c>
      <c r="J136" s="11">
        <f>IF(N136="","",IF(INDEX(Wires!$I$2:$I$1000,N136)="","",INDEX(Wires!$I$2:$I$1000,N136)))</f>
        <v/>
      </c>
      <c r="K136" s="11">
        <f>COUNTIF(Wires!$W$2:$W$1000,M136)+COUNTIF(Wires!$X$2:$X$1000,M136)</f>
        <v/>
      </c>
      <c r="L136" s="11">
        <f>IF(AND(K136=0,C136&lt;&gt;"",D136&lt;&gt;"NC"),"pino com sinal mas sem fio; ","")&amp;IF(AND(D136="NC",K136&gt;0),"pino NC com fio; ","")&amp;IF(AND(K136&gt;1,ISERROR(MATCH(IFERROR(INDEX(Connectors!$D$2:$D$1000,MATCH(A136,Connectors!$A$2:$A$1000,0)),""),{"SPLICE","STUD"},0))),"vários fios no mesmo pino; ","")</f>
        <v/>
      </c>
      <c r="M136" s="11">
        <f>A136&amp;":"&amp;B136&amp;IF(EXACT(B136,UPPER(B136)),"","|lc")</f>
        <v/>
      </c>
      <c r="N136" s="11">
        <f>IFERROR(MATCH(M136,Wires!$W$2:$W$1000,0),IFERROR(MATCH(M136,Wires!$X$2:$X$1000,0),""))</f>
        <v/>
      </c>
      <c r="O136" s="11">
        <f>IF(N136="","",IF(ISNUMBER(MATCH(M136,Wires!$W$2:$W$1000,0)),"from","to"))</f>
        <v/>
      </c>
    </row>
    <row r="137">
      <c r="A137" s="9" t="inlineStr">
        <is>
          <t>AMS J12</t>
        </is>
      </c>
      <c r="B137" s="9" t="inlineStr">
        <is>
          <t>5</t>
        </is>
      </c>
      <c r="C137" s="9" t="n"/>
      <c r="D137" s="9" t="inlineStr">
        <is>
          <t>NC</t>
        </is>
      </c>
      <c r="E137" s="9" t="n"/>
      <c r="F137" s="11">
        <f>IF(N137="","",INDEX(Wires!$A$2:$A$1000,N137))</f>
        <v/>
      </c>
      <c r="G137" s="11">
        <f>IF(N137="","",INDEX(Wires!$C$2:$C$1000,N137))</f>
        <v/>
      </c>
      <c r="H137" s="11">
        <f>IF(N137="","",IF(O137="from",INDEX(Wires!$F$2:$F$1000,N137)&amp;":"&amp;INDEX(Wires!$G$2:$G$1000,N137),INDEX(Wires!$D$2:$D$1000,N137)&amp;":"&amp;INDEX(Wires!$E$2:$E$1000,N137)))</f>
        <v/>
      </c>
      <c r="I137" s="11">
        <f>IF(N137="","",INDEX(Wires!$H$2:$H$1000,N137)&amp;"")</f>
        <v/>
      </c>
      <c r="J137" s="11">
        <f>IF(N137="","",IF(INDEX(Wires!$I$2:$I$1000,N137)="","",INDEX(Wires!$I$2:$I$1000,N137)))</f>
        <v/>
      </c>
      <c r="K137" s="11">
        <f>COUNTIF(Wires!$W$2:$W$1000,M137)+COUNTIF(Wires!$X$2:$X$1000,M137)</f>
        <v/>
      </c>
      <c r="L137" s="11">
        <f>IF(AND(K137=0,C137&lt;&gt;"",D137&lt;&gt;"NC"),"pino com sinal mas sem fio; ","")&amp;IF(AND(D137="NC",K137&gt;0),"pino NC com fio; ","")&amp;IF(AND(K137&gt;1,ISERROR(MATCH(IFERROR(INDEX(Connectors!$D$2:$D$1000,MATCH(A137,Connectors!$A$2:$A$1000,0)),""),{"SPLICE","STUD"},0))),"vários fios no mesmo pino; ","")</f>
        <v/>
      </c>
      <c r="M137" s="11">
        <f>A137&amp;":"&amp;B137&amp;IF(EXACT(B137,UPPER(B137)),"","|lc")</f>
        <v/>
      </c>
      <c r="N137" s="11">
        <f>IFERROR(MATCH(M137,Wires!$W$2:$W$1000,0),IFERROR(MATCH(M137,Wires!$X$2:$X$1000,0),""))</f>
        <v/>
      </c>
      <c r="O137" s="11">
        <f>IF(N137="","",IF(ISNUMBER(MATCH(M137,Wires!$W$2:$W$1000,0)),"from","to"))</f>
        <v/>
      </c>
    </row>
    <row r="138">
      <c r="A138" s="9" t="inlineStr">
        <is>
          <t>AMS J12</t>
        </is>
      </c>
      <c r="B138" s="9" t="inlineStr">
        <is>
          <t>6</t>
        </is>
      </c>
      <c r="C138" s="9" t="n"/>
      <c r="D138" s="9" t="inlineStr">
        <is>
          <t>NC</t>
        </is>
      </c>
      <c r="E138" s="9" t="n"/>
      <c r="F138" s="11">
        <f>IF(N138="","",INDEX(Wires!$A$2:$A$1000,N138))</f>
        <v/>
      </c>
      <c r="G138" s="11">
        <f>IF(N138="","",INDEX(Wires!$C$2:$C$1000,N138))</f>
        <v/>
      </c>
      <c r="H138" s="11">
        <f>IF(N138="","",IF(O138="from",INDEX(Wires!$F$2:$F$1000,N138)&amp;":"&amp;INDEX(Wires!$G$2:$G$1000,N138),INDEX(Wires!$D$2:$D$1000,N138)&amp;":"&amp;INDEX(Wires!$E$2:$E$1000,N138)))</f>
        <v/>
      </c>
      <c r="I138" s="11">
        <f>IF(N138="","",INDEX(Wires!$H$2:$H$1000,N138)&amp;"")</f>
        <v/>
      </c>
      <c r="J138" s="11">
        <f>IF(N138="","",IF(INDEX(Wires!$I$2:$I$1000,N138)="","",INDEX(Wires!$I$2:$I$1000,N138)))</f>
        <v/>
      </c>
      <c r="K138" s="11">
        <f>COUNTIF(Wires!$W$2:$W$1000,M138)+COUNTIF(Wires!$X$2:$X$1000,M138)</f>
        <v/>
      </c>
      <c r="L138" s="11">
        <f>IF(AND(K138=0,C138&lt;&gt;"",D138&lt;&gt;"NC"),"pino com sinal mas sem fio; ","")&amp;IF(AND(D138="NC",K138&gt;0),"pino NC com fio; ","")&amp;IF(AND(K138&gt;1,ISERROR(MATCH(IFERROR(INDEX(Connectors!$D$2:$D$1000,MATCH(A138,Connectors!$A$2:$A$1000,0)),""),{"SPLICE","STUD"},0))),"vários fios no mesmo pino; ","")</f>
        <v/>
      </c>
      <c r="M138" s="11">
        <f>A138&amp;":"&amp;B138&amp;IF(EXACT(B138,UPPER(B138)),"","|lc")</f>
        <v/>
      </c>
      <c r="N138" s="11">
        <f>IFERROR(MATCH(M138,Wires!$W$2:$W$1000,0),IFERROR(MATCH(M138,Wires!$X$2:$X$1000,0),""))</f>
        <v/>
      </c>
      <c r="O138" s="11">
        <f>IF(N138="","",IF(ISNUMBER(MATCH(M138,Wires!$W$2:$W$1000,0)),"from","to"))</f>
        <v/>
      </c>
    </row>
    <row r="139">
      <c r="A139" s="9" t="inlineStr">
        <is>
          <t>AMS J12</t>
        </is>
      </c>
      <c r="B139" s="9" t="inlineStr">
        <is>
          <t>7</t>
        </is>
      </c>
      <c r="C139" s="9" t="n"/>
      <c r="D139" s="9" t="inlineStr">
        <is>
          <t>NC</t>
        </is>
      </c>
      <c r="E139" s="9" t="n"/>
      <c r="F139" s="11">
        <f>IF(N139="","",INDEX(Wires!$A$2:$A$1000,N139))</f>
        <v/>
      </c>
      <c r="G139" s="11">
        <f>IF(N139="","",INDEX(Wires!$C$2:$C$1000,N139))</f>
        <v/>
      </c>
      <c r="H139" s="11">
        <f>IF(N139="","",IF(O139="from",INDEX(Wires!$F$2:$F$1000,N139)&amp;":"&amp;INDEX(Wires!$G$2:$G$1000,N139),INDEX(Wires!$D$2:$D$1000,N139)&amp;":"&amp;INDEX(Wires!$E$2:$E$1000,N139)))</f>
        <v/>
      </c>
      <c r="I139" s="11">
        <f>IF(N139="","",INDEX(Wires!$H$2:$H$1000,N139)&amp;"")</f>
        <v/>
      </c>
      <c r="J139" s="11">
        <f>IF(N139="","",IF(INDEX(Wires!$I$2:$I$1000,N139)="","",INDEX(Wires!$I$2:$I$1000,N139)))</f>
        <v/>
      </c>
      <c r="K139" s="11">
        <f>COUNTIF(Wires!$W$2:$W$1000,M139)+COUNTIF(Wires!$X$2:$X$1000,M139)</f>
        <v/>
      </c>
      <c r="L139" s="11">
        <f>IF(AND(K139=0,C139&lt;&gt;"",D139&lt;&gt;"NC"),"pino com sinal mas sem fio; ","")&amp;IF(AND(D139="NC",K139&gt;0),"pino NC com fio; ","")&amp;IF(AND(K139&gt;1,ISERROR(MATCH(IFERROR(INDEX(Connectors!$D$2:$D$1000,MATCH(A139,Connectors!$A$2:$A$1000,0)),""),{"SPLICE","STUD"},0))),"vários fios no mesmo pino; ","")</f>
        <v/>
      </c>
      <c r="M139" s="11">
        <f>A139&amp;":"&amp;B139&amp;IF(EXACT(B139,UPPER(B139)),"","|lc")</f>
        <v/>
      </c>
      <c r="N139" s="11">
        <f>IFERROR(MATCH(M139,Wires!$W$2:$W$1000,0),IFERROR(MATCH(M139,Wires!$X$2:$X$1000,0),""))</f>
        <v/>
      </c>
      <c r="O139" s="11">
        <f>IF(N139="","",IF(ISNUMBER(MATCH(M139,Wires!$W$2:$W$1000,0)),"from","to"))</f>
        <v/>
      </c>
    </row>
    <row r="140">
      <c r="A140" s="9" t="inlineStr">
        <is>
          <t>AMS J12</t>
        </is>
      </c>
      <c r="B140" s="9" t="inlineStr">
        <is>
          <t>8</t>
        </is>
      </c>
      <c r="C140" s="9" t="n"/>
      <c r="D140" s="9" t="inlineStr">
        <is>
          <t>NC</t>
        </is>
      </c>
      <c r="E140" s="9" t="n"/>
      <c r="F140" s="11">
        <f>IF(N140="","",INDEX(Wires!$A$2:$A$1000,N140))</f>
        <v/>
      </c>
      <c r="G140" s="11">
        <f>IF(N140="","",INDEX(Wires!$C$2:$C$1000,N140))</f>
        <v/>
      </c>
      <c r="H140" s="11">
        <f>IF(N140="","",IF(O140="from",INDEX(Wires!$F$2:$F$1000,N140)&amp;":"&amp;INDEX(Wires!$G$2:$G$1000,N140),INDEX(Wires!$D$2:$D$1000,N140)&amp;":"&amp;INDEX(Wires!$E$2:$E$1000,N140)))</f>
        <v/>
      </c>
      <c r="I140" s="11">
        <f>IF(N140="","",INDEX(Wires!$H$2:$H$1000,N140)&amp;"")</f>
        <v/>
      </c>
      <c r="J140" s="11">
        <f>IF(N140="","",IF(INDEX(Wires!$I$2:$I$1000,N140)="","",INDEX(Wires!$I$2:$I$1000,N140)))</f>
        <v/>
      </c>
      <c r="K140" s="11">
        <f>COUNTIF(Wires!$W$2:$W$1000,M140)+COUNTIF(Wires!$X$2:$X$1000,M140)</f>
        <v/>
      </c>
      <c r="L140" s="11">
        <f>IF(AND(K140=0,C140&lt;&gt;"",D140&lt;&gt;"NC"),"pino com sinal mas sem fio; ","")&amp;IF(AND(D140="NC",K140&gt;0),"pino NC com fio; ","")&amp;IF(AND(K140&gt;1,ISERROR(MATCH(IFERROR(INDEX(Connectors!$D$2:$D$1000,MATCH(A140,Connectors!$A$2:$A$1000,0)),""),{"SPLICE","STUD"},0))),"vários fios no mesmo pino; ","")</f>
        <v/>
      </c>
      <c r="M140" s="11">
        <f>A140&amp;":"&amp;B140&amp;IF(EXACT(B140,UPPER(B140)),"","|lc")</f>
        <v/>
      </c>
      <c r="N140" s="11">
        <f>IFERROR(MATCH(M140,Wires!$W$2:$W$1000,0),IFERROR(MATCH(M140,Wires!$X$2:$X$1000,0),""))</f>
        <v/>
      </c>
      <c r="O140" s="11">
        <f>IF(N140="","",IF(ISNUMBER(MATCH(M140,Wires!$W$2:$W$1000,0)),"from","to"))</f>
        <v/>
      </c>
    </row>
    <row r="141">
      <c r="A141" s="9" t="inlineStr">
        <is>
          <t>AMS J12</t>
        </is>
      </c>
      <c r="B141" s="9" t="inlineStr">
        <is>
          <t>9</t>
        </is>
      </c>
      <c r="C141" s="9" t="n"/>
      <c r="D141" s="9" t="inlineStr">
        <is>
          <t>NC</t>
        </is>
      </c>
      <c r="E141" s="9" t="n"/>
      <c r="F141" s="11">
        <f>IF(N141="","",INDEX(Wires!$A$2:$A$1000,N141))</f>
        <v/>
      </c>
      <c r="G141" s="11">
        <f>IF(N141="","",INDEX(Wires!$C$2:$C$1000,N141))</f>
        <v/>
      </c>
      <c r="H141" s="11">
        <f>IF(N141="","",IF(O141="from",INDEX(Wires!$F$2:$F$1000,N141)&amp;":"&amp;INDEX(Wires!$G$2:$G$1000,N141),INDEX(Wires!$D$2:$D$1000,N141)&amp;":"&amp;INDEX(Wires!$E$2:$E$1000,N141)))</f>
        <v/>
      </c>
      <c r="I141" s="11">
        <f>IF(N141="","",INDEX(Wires!$H$2:$H$1000,N141)&amp;"")</f>
        <v/>
      </c>
      <c r="J141" s="11">
        <f>IF(N141="","",IF(INDEX(Wires!$I$2:$I$1000,N141)="","",INDEX(Wires!$I$2:$I$1000,N141)))</f>
        <v/>
      </c>
      <c r="K141" s="11">
        <f>COUNTIF(Wires!$W$2:$W$1000,M141)+COUNTIF(Wires!$X$2:$X$1000,M141)</f>
        <v/>
      </c>
      <c r="L141" s="11">
        <f>IF(AND(K141=0,C141&lt;&gt;"",D141&lt;&gt;"NC"),"pino com sinal mas sem fio; ","")&amp;IF(AND(D141="NC",K141&gt;0),"pino NC com fio; ","")&amp;IF(AND(K141&gt;1,ISERROR(MATCH(IFERROR(INDEX(Connectors!$D$2:$D$1000,MATCH(A141,Connectors!$A$2:$A$1000,0)),""),{"SPLICE","STUD"},0))),"vários fios no mesmo pino; ","")</f>
        <v/>
      </c>
      <c r="M141" s="11">
        <f>A141&amp;":"&amp;B141&amp;IF(EXACT(B141,UPPER(B141)),"","|lc")</f>
        <v/>
      </c>
      <c r="N141" s="11">
        <f>IFERROR(MATCH(M141,Wires!$W$2:$W$1000,0),IFERROR(MATCH(M141,Wires!$X$2:$X$1000,0),""))</f>
        <v/>
      </c>
      <c r="O141" s="11">
        <f>IF(N141="","",IF(ISNUMBER(MATCH(M141,Wires!$W$2:$W$1000,0)),"from","to"))</f>
        <v/>
      </c>
    </row>
    <row r="142">
      <c r="A142" s="9" t="inlineStr">
        <is>
          <t>AMS J12</t>
        </is>
      </c>
      <c r="B142" s="9" t="inlineStr">
        <is>
          <t>10</t>
        </is>
      </c>
      <c r="C142" s="9" t="inlineStr">
        <is>
          <t>AMS S</t>
        </is>
      </c>
      <c r="D142" s="9" t="inlineStr">
        <is>
          <t>OUT</t>
        </is>
      </c>
      <c r="E142" s="9" t="inlineStr">
        <is>
          <t>24V</t>
        </is>
      </c>
      <c r="F142" s="11">
        <f>IF(N142="","",INDEX(Wires!$A$2:$A$1000,N142))</f>
        <v/>
      </c>
      <c r="G142" s="11">
        <f>IF(N142="","",INDEX(Wires!$C$2:$C$1000,N142))</f>
        <v/>
      </c>
      <c r="H142" s="11">
        <f>IF(N142="","",IF(O142="from",INDEX(Wires!$F$2:$F$1000,N142)&amp;":"&amp;INDEX(Wires!$G$2:$G$1000,N142),INDEX(Wires!$D$2:$D$1000,N142)&amp;":"&amp;INDEX(Wires!$E$2:$E$1000,N142)))</f>
        <v/>
      </c>
      <c r="I142" s="11">
        <f>IF(N142="","",INDEX(Wires!$H$2:$H$1000,N142)&amp;"")</f>
        <v/>
      </c>
      <c r="J142" s="11">
        <f>IF(N142="","",IF(INDEX(Wires!$I$2:$I$1000,N142)="","",INDEX(Wires!$I$2:$I$1000,N142)))</f>
        <v/>
      </c>
      <c r="K142" s="11">
        <f>COUNTIF(Wires!$W$2:$W$1000,M142)+COUNTIF(Wires!$X$2:$X$1000,M142)</f>
        <v/>
      </c>
      <c r="L142" s="11">
        <f>IF(AND(K142=0,C142&lt;&gt;"",D142&lt;&gt;"NC"),"pino com sinal mas sem fio; ","")&amp;IF(AND(D142="NC",K142&gt;0),"pino NC com fio; ","")&amp;IF(AND(K142&gt;1,ISERROR(MATCH(IFERROR(INDEX(Connectors!$D$2:$D$1000,MATCH(A142,Connectors!$A$2:$A$1000,0)),""),{"SPLICE","STUD"},0))),"vários fios no mesmo pino; ","")</f>
        <v/>
      </c>
      <c r="M142" s="11">
        <f>A142&amp;":"&amp;B142&amp;IF(EXACT(B142,UPPER(B142)),"","|lc")</f>
        <v/>
      </c>
      <c r="N142" s="11">
        <f>IFERROR(MATCH(M142,Wires!$W$2:$W$1000,0),IFERROR(MATCH(M142,Wires!$X$2:$X$1000,0),""))</f>
        <v/>
      </c>
      <c r="O142" s="11">
        <f>IF(N142="","",IF(ISNUMBER(MATCH(M142,Wires!$W$2:$W$1000,0)),"from","to"))</f>
        <v/>
      </c>
    </row>
    <row r="143">
      <c r="A143" s="9" t="inlineStr">
        <is>
          <t>AMS J12</t>
        </is>
      </c>
      <c r="B143" s="9" t="inlineStr">
        <is>
          <t>11</t>
        </is>
      </c>
      <c r="C143" s="9" t="inlineStr">
        <is>
          <t>GND</t>
        </is>
      </c>
      <c r="D143" s="9" t="inlineStr">
        <is>
          <t>GND</t>
        </is>
      </c>
      <c r="E143" s="9" t="inlineStr">
        <is>
          <t>0V</t>
        </is>
      </c>
      <c r="F143" s="11">
        <f>IF(N143="","",INDEX(Wires!$A$2:$A$1000,N143))</f>
        <v/>
      </c>
      <c r="G143" s="11">
        <f>IF(N143="","",INDEX(Wires!$C$2:$C$1000,N143))</f>
        <v/>
      </c>
      <c r="H143" s="11">
        <f>IF(N143="","",IF(O143="from",INDEX(Wires!$F$2:$F$1000,N143)&amp;":"&amp;INDEX(Wires!$G$2:$G$1000,N143),INDEX(Wires!$D$2:$D$1000,N143)&amp;":"&amp;INDEX(Wires!$E$2:$E$1000,N143)))</f>
        <v/>
      </c>
      <c r="I143" s="11">
        <f>IF(N143="","",INDEX(Wires!$H$2:$H$1000,N143)&amp;"")</f>
        <v/>
      </c>
      <c r="J143" s="11">
        <f>IF(N143="","",IF(INDEX(Wires!$I$2:$I$1000,N143)="","",INDEX(Wires!$I$2:$I$1000,N143)))</f>
        <v/>
      </c>
      <c r="K143" s="11">
        <f>COUNTIF(Wires!$W$2:$W$1000,M143)+COUNTIF(Wires!$X$2:$X$1000,M143)</f>
        <v/>
      </c>
      <c r="L143" s="11">
        <f>IF(AND(K143=0,C143&lt;&gt;"",D143&lt;&gt;"NC"),"pino com sinal mas sem fio; ","")&amp;IF(AND(D143="NC",K143&gt;0),"pino NC com fio; ","")&amp;IF(AND(K143&gt;1,ISERROR(MATCH(IFERROR(INDEX(Connectors!$D$2:$D$1000,MATCH(A143,Connectors!$A$2:$A$1000,0)),""),{"SPLICE","STUD"},0))),"vários fios no mesmo pino; ","")</f>
        <v/>
      </c>
      <c r="M143" s="11">
        <f>A143&amp;":"&amp;B143&amp;IF(EXACT(B143,UPPER(B143)),"","|lc")</f>
        <v/>
      </c>
      <c r="N143" s="11">
        <f>IFERROR(MATCH(M143,Wires!$W$2:$W$1000,0),IFERROR(MATCH(M143,Wires!$X$2:$X$1000,0),""))</f>
        <v/>
      </c>
      <c r="O143" s="11">
        <f>IF(N143="","",IF(ISNUMBER(MATCH(M143,Wires!$W$2:$W$1000,0)),"from","to"))</f>
        <v/>
      </c>
    </row>
    <row r="144">
      <c r="A144" s="9" t="inlineStr">
        <is>
          <t>AMS J12</t>
        </is>
      </c>
      <c r="B144" s="9" t="inlineStr">
        <is>
          <t>12</t>
        </is>
      </c>
      <c r="C144" s="9" t="inlineStr">
        <is>
          <t>+24V</t>
        </is>
      </c>
      <c r="D144" s="9" t="inlineStr">
        <is>
          <t>VCC</t>
        </is>
      </c>
      <c r="E144" s="9" t="inlineStr">
        <is>
          <t>24V</t>
        </is>
      </c>
      <c r="F144" s="11">
        <f>IF(N144="","",INDEX(Wires!$A$2:$A$1000,N144))</f>
        <v/>
      </c>
      <c r="G144" s="11">
        <f>IF(N144="","",INDEX(Wires!$C$2:$C$1000,N144))</f>
        <v/>
      </c>
      <c r="H144" s="11">
        <f>IF(N144="","",IF(O144="from",INDEX(Wires!$F$2:$F$1000,N144)&amp;":"&amp;INDEX(Wires!$G$2:$G$1000,N144),INDEX(Wires!$D$2:$D$1000,N144)&amp;":"&amp;INDEX(Wires!$E$2:$E$1000,N144)))</f>
        <v/>
      </c>
      <c r="I144" s="11">
        <f>IF(N144="","",INDEX(Wires!$H$2:$H$1000,N144)&amp;"")</f>
        <v/>
      </c>
      <c r="J144" s="11">
        <f>IF(N144="","",IF(INDEX(Wires!$I$2:$I$1000,N144)="","",INDEX(Wires!$I$2:$I$1000,N144)))</f>
        <v/>
      </c>
      <c r="K144" s="11">
        <f>COUNTIF(Wires!$W$2:$W$1000,M144)+COUNTIF(Wires!$X$2:$X$1000,M144)</f>
        <v/>
      </c>
      <c r="L144" s="11">
        <f>IF(AND(K144=0,C144&lt;&gt;"",D144&lt;&gt;"NC"),"pino com sinal mas sem fio; ","")&amp;IF(AND(D144="NC",K144&gt;0),"pino NC com fio; ","")&amp;IF(AND(K144&gt;1,ISERROR(MATCH(IFERROR(INDEX(Connectors!$D$2:$D$1000,MATCH(A144,Connectors!$A$2:$A$1000,0)),""),{"SPLICE","STUD"},0))),"vários fios no mesmo pino; ","")</f>
        <v/>
      </c>
      <c r="M144" s="11">
        <f>A144&amp;":"&amp;B144&amp;IF(EXACT(B144,UPPER(B144)),"","|lc")</f>
        <v/>
      </c>
      <c r="N144" s="11">
        <f>IFERROR(MATCH(M144,Wires!$W$2:$W$1000,0),IFERROR(MATCH(M144,Wires!$X$2:$X$1000,0),""))</f>
        <v/>
      </c>
      <c r="O144" s="11">
        <f>IF(N144="","",IF(ISNUMBER(MATCH(M144,Wires!$W$2:$W$1000,0)),"from","to"))</f>
        <v/>
      </c>
    </row>
    <row r="145">
      <c r="A145" s="9" t="inlineStr">
        <is>
          <t>AMS J13</t>
        </is>
      </c>
      <c r="B145" s="9" t="inlineStr">
        <is>
          <t>1</t>
        </is>
      </c>
      <c r="C145" s="9" t="inlineStr">
        <is>
          <t>PWT_Can_L</t>
        </is>
      </c>
      <c r="D145" s="9" t="inlineStr">
        <is>
          <t>BIDIR</t>
        </is>
      </c>
      <c r="E145" s="9" t="inlineStr">
        <is>
          <t>5V</t>
        </is>
      </c>
      <c r="F145" s="11">
        <f>IF(N145="","",INDEX(Wires!$A$2:$A$1000,N145))</f>
        <v/>
      </c>
      <c r="G145" s="11">
        <f>IF(N145="","",INDEX(Wires!$C$2:$C$1000,N145))</f>
        <v/>
      </c>
      <c r="H145" s="11">
        <f>IF(N145="","",IF(O145="from",INDEX(Wires!$F$2:$F$1000,N145)&amp;":"&amp;INDEX(Wires!$G$2:$G$1000,N145),INDEX(Wires!$D$2:$D$1000,N145)&amp;":"&amp;INDEX(Wires!$E$2:$E$1000,N145)))</f>
        <v/>
      </c>
      <c r="I145" s="11">
        <f>IF(N145="","",INDEX(Wires!$H$2:$H$1000,N145)&amp;"")</f>
        <v/>
      </c>
      <c r="J145" s="11">
        <f>IF(N145="","",IF(INDEX(Wires!$I$2:$I$1000,N145)="","",INDEX(Wires!$I$2:$I$1000,N145)))</f>
        <v/>
      </c>
      <c r="K145" s="11">
        <f>COUNTIF(Wires!$W$2:$W$1000,M145)+COUNTIF(Wires!$X$2:$X$1000,M145)</f>
        <v/>
      </c>
      <c r="L145" s="11">
        <f>IF(AND(K145=0,C145&lt;&gt;"",D145&lt;&gt;"NC"),"pino com sinal mas sem fio; ","")&amp;IF(AND(D145="NC",K145&gt;0),"pino NC com fio; ","")&amp;IF(AND(K145&gt;1,ISERROR(MATCH(IFERROR(INDEX(Connectors!$D$2:$D$1000,MATCH(A145,Connectors!$A$2:$A$1000,0)),""),{"SPLICE","STUD"},0))),"vários fios no mesmo pino; ","")</f>
        <v/>
      </c>
      <c r="M145" s="11">
        <f>A145&amp;":"&amp;B145&amp;IF(EXACT(B145,UPPER(B145)),"","|lc")</f>
        <v/>
      </c>
      <c r="N145" s="11">
        <f>IFERROR(MATCH(M145,Wires!$W$2:$W$1000,0),IFERROR(MATCH(M145,Wires!$X$2:$X$1000,0),""))</f>
        <v/>
      </c>
      <c r="O145" s="11">
        <f>IF(N145="","",IF(ISNUMBER(MATCH(M145,Wires!$W$2:$W$1000,0)),"from","to"))</f>
        <v/>
      </c>
    </row>
    <row r="146">
      <c r="A146" s="9" t="inlineStr">
        <is>
          <t>AMS J13</t>
        </is>
      </c>
      <c r="B146" s="9" t="inlineStr">
        <is>
          <t>2</t>
        </is>
      </c>
      <c r="C146" s="9" t="inlineStr">
        <is>
          <t>PWT_Can_H</t>
        </is>
      </c>
      <c r="D146" s="9" t="inlineStr">
        <is>
          <t>BIDIR</t>
        </is>
      </c>
      <c r="E146" s="9" t="inlineStr">
        <is>
          <t>5V</t>
        </is>
      </c>
      <c r="F146" s="11">
        <f>IF(N146="","",INDEX(Wires!$A$2:$A$1000,N146))</f>
        <v/>
      </c>
      <c r="G146" s="11">
        <f>IF(N146="","",INDEX(Wires!$C$2:$C$1000,N146))</f>
        <v/>
      </c>
      <c r="H146" s="11">
        <f>IF(N146="","",IF(O146="from",INDEX(Wires!$F$2:$F$1000,N146)&amp;":"&amp;INDEX(Wires!$G$2:$G$1000,N146),INDEX(Wires!$D$2:$D$1000,N146)&amp;":"&amp;INDEX(Wires!$E$2:$E$1000,N146)))</f>
        <v/>
      </c>
      <c r="I146" s="11">
        <f>IF(N146="","",INDEX(Wires!$H$2:$H$1000,N146)&amp;"")</f>
        <v/>
      </c>
      <c r="J146" s="11">
        <f>IF(N146="","",IF(INDEX(Wires!$I$2:$I$1000,N146)="","",INDEX(Wires!$I$2:$I$1000,N146)))</f>
        <v/>
      </c>
      <c r="K146" s="11">
        <f>COUNTIF(Wires!$W$2:$W$1000,M146)+COUNTIF(Wires!$X$2:$X$1000,M146)</f>
        <v/>
      </c>
      <c r="L146" s="11">
        <f>IF(AND(K146=0,C146&lt;&gt;"",D146&lt;&gt;"NC"),"pino com sinal mas sem fio; ","")&amp;IF(AND(D146="NC",K146&gt;0),"pino NC com fio; ","")&amp;IF(AND(K146&gt;1,ISERROR(MATCH(IFERROR(INDEX(Connectors!$D$2:$D$1000,MATCH(A146,Connectors!$A$2:$A$1000,0)),""),{"SPLICE","STUD"},0))),"vários fios no mesmo pino; ","")</f>
        <v/>
      </c>
      <c r="M146" s="11">
        <f>A146&amp;":"&amp;B146&amp;IF(EXACT(B146,UPPER(B146)),"","|lc")</f>
        <v/>
      </c>
      <c r="N146" s="11">
        <f>IFERROR(MATCH(M146,Wires!$W$2:$W$1000,0),IFERROR(MATCH(M146,Wires!$X$2:$X$1000,0),""))</f>
        <v/>
      </c>
      <c r="O146" s="11">
        <f>IF(N146="","",IF(ISNUMBER(MATCH(M146,Wires!$W$2:$W$1000,0)),"from","to"))</f>
        <v/>
      </c>
    </row>
    <row r="147">
      <c r="A147" s="9" t="inlineStr">
        <is>
          <t>AMS J14</t>
        </is>
      </c>
      <c r="B147" s="9" t="inlineStr">
        <is>
          <t>1</t>
        </is>
      </c>
      <c r="C147" s="9" t="inlineStr">
        <is>
          <t>PWT_Can_L</t>
        </is>
      </c>
      <c r="D147" s="9" t="inlineStr">
        <is>
          <t>BIDIR</t>
        </is>
      </c>
      <c r="E147" s="9" t="inlineStr">
        <is>
          <t>5V</t>
        </is>
      </c>
      <c r="F147" s="11">
        <f>IF(N147="","",INDEX(Wires!$A$2:$A$1000,N147))</f>
        <v/>
      </c>
      <c r="G147" s="11">
        <f>IF(N147="","",INDEX(Wires!$C$2:$C$1000,N147))</f>
        <v/>
      </c>
      <c r="H147" s="11">
        <f>IF(N147="","",IF(O147="from",INDEX(Wires!$F$2:$F$1000,N147)&amp;":"&amp;INDEX(Wires!$G$2:$G$1000,N147),INDEX(Wires!$D$2:$D$1000,N147)&amp;":"&amp;INDEX(Wires!$E$2:$E$1000,N147)))</f>
        <v/>
      </c>
      <c r="I147" s="11">
        <f>IF(N147="","",INDEX(Wires!$H$2:$H$1000,N147)&amp;"")</f>
        <v/>
      </c>
      <c r="J147" s="11">
        <f>IF(N147="","",IF(INDEX(Wires!$I$2:$I$1000,N147)="","",INDEX(Wires!$I$2:$I$1000,N147)))</f>
        <v/>
      </c>
      <c r="K147" s="11">
        <f>COUNTIF(Wires!$W$2:$W$1000,M147)+COUNTIF(Wires!$X$2:$X$1000,M147)</f>
        <v/>
      </c>
      <c r="L147" s="11">
        <f>IF(AND(K147=0,C147&lt;&gt;"",D147&lt;&gt;"NC"),"pino com sinal mas sem fio; ","")&amp;IF(AND(D147="NC",K147&gt;0),"pino NC com fio; ","")&amp;IF(AND(K147&gt;1,ISERROR(MATCH(IFERROR(INDEX(Connectors!$D$2:$D$1000,MATCH(A147,Connectors!$A$2:$A$1000,0)),""),{"SPLICE","STUD"},0))),"vários fios no mesmo pino; ","")</f>
        <v/>
      </c>
      <c r="M147" s="11">
        <f>A147&amp;":"&amp;B147&amp;IF(EXACT(B147,UPPER(B147)),"","|lc")</f>
        <v/>
      </c>
      <c r="N147" s="11">
        <f>IFERROR(MATCH(M147,Wires!$W$2:$W$1000,0),IFERROR(MATCH(M147,Wires!$X$2:$X$1000,0),""))</f>
        <v/>
      </c>
      <c r="O147" s="11">
        <f>IF(N147="","",IF(ISNUMBER(MATCH(M147,Wires!$W$2:$W$1000,0)),"from","to"))</f>
        <v/>
      </c>
    </row>
    <row r="148">
      <c r="A148" s="9" t="inlineStr">
        <is>
          <t>AMS J14</t>
        </is>
      </c>
      <c r="B148" s="9" t="inlineStr">
        <is>
          <t>2</t>
        </is>
      </c>
      <c r="C148" s="9" t="inlineStr">
        <is>
          <t>PWT_Can_H</t>
        </is>
      </c>
      <c r="D148" s="9" t="inlineStr">
        <is>
          <t>BIDIR</t>
        </is>
      </c>
      <c r="E148" s="9" t="inlineStr">
        <is>
          <t>5V</t>
        </is>
      </c>
      <c r="F148" s="11">
        <f>IF(N148="","",INDEX(Wires!$A$2:$A$1000,N148))</f>
        <v/>
      </c>
      <c r="G148" s="11">
        <f>IF(N148="","",INDEX(Wires!$C$2:$C$1000,N148))</f>
        <v/>
      </c>
      <c r="H148" s="11">
        <f>IF(N148="","",IF(O148="from",INDEX(Wires!$F$2:$F$1000,N148)&amp;":"&amp;INDEX(Wires!$G$2:$G$1000,N148),INDEX(Wires!$D$2:$D$1000,N148)&amp;":"&amp;INDEX(Wires!$E$2:$E$1000,N148)))</f>
        <v/>
      </c>
      <c r="I148" s="11">
        <f>IF(N148="","",INDEX(Wires!$H$2:$H$1000,N148)&amp;"")</f>
        <v/>
      </c>
      <c r="J148" s="11">
        <f>IF(N148="","",IF(INDEX(Wires!$I$2:$I$1000,N148)="","",INDEX(Wires!$I$2:$I$1000,N148)))</f>
        <v/>
      </c>
      <c r="K148" s="11">
        <f>COUNTIF(Wires!$W$2:$W$1000,M148)+COUNTIF(Wires!$X$2:$X$1000,M148)</f>
        <v/>
      </c>
      <c r="L148" s="11">
        <f>IF(AND(K148=0,C148&lt;&gt;"",D148&lt;&gt;"NC"),"pino com sinal mas sem fio; ","")&amp;IF(AND(D148="NC",K148&gt;0),"pino NC com fio; ","")&amp;IF(AND(K148&gt;1,ISERROR(MATCH(IFERROR(INDEX(Connectors!$D$2:$D$1000,MATCH(A148,Connectors!$A$2:$A$1000,0)),""),{"SPLICE","STUD"},0))),"vários fios no mesmo pino; ","")</f>
        <v/>
      </c>
      <c r="M148" s="11">
        <f>A148&amp;":"&amp;B148&amp;IF(EXACT(B148,UPPER(B148)),"","|lc")</f>
        <v/>
      </c>
      <c r="N148" s="11">
        <f>IFERROR(MATCH(M148,Wires!$W$2:$W$1000,0),IFERROR(MATCH(M148,Wires!$X$2:$X$1000,0),""))</f>
        <v/>
      </c>
      <c r="O148" s="11">
        <f>IF(N148="","",IF(ISNUMBER(MATCH(M148,Wires!$W$2:$W$1000,0)),"from","to"))</f>
        <v/>
      </c>
    </row>
    <row r="149">
      <c r="A149" s="9" t="inlineStr">
        <is>
          <t>AMS J15</t>
        </is>
      </c>
      <c r="B149" s="9" t="inlineStr">
        <is>
          <t>1</t>
        </is>
      </c>
      <c r="C149" s="9" t="inlineStr">
        <is>
          <t>CHG_Can_L</t>
        </is>
      </c>
      <c r="D149" s="9" t="inlineStr">
        <is>
          <t>BIDIR</t>
        </is>
      </c>
      <c r="E149" s="9" t="inlineStr">
        <is>
          <t>5V</t>
        </is>
      </c>
      <c r="F149" s="11">
        <f>IF(N149="","",INDEX(Wires!$A$2:$A$1000,N149))</f>
        <v/>
      </c>
      <c r="G149" s="11">
        <f>IF(N149="","",INDEX(Wires!$C$2:$C$1000,N149))</f>
        <v/>
      </c>
      <c r="H149" s="11">
        <f>IF(N149="","",IF(O149="from",INDEX(Wires!$F$2:$F$1000,N149)&amp;":"&amp;INDEX(Wires!$G$2:$G$1000,N149),INDEX(Wires!$D$2:$D$1000,N149)&amp;":"&amp;INDEX(Wires!$E$2:$E$1000,N149)))</f>
        <v/>
      </c>
      <c r="I149" s="11">
        <f>IF(N149="","",INDEX(Wires!$H$2:$H$1000,N149)&amp;"")</f>
        <v/>
      </c>
      <c r="J149" s="11">
        <f>IF(N149="","",IF(INDEX(Wires!$I$2:$I$1000,N149)="","",INDEX(Wires!$I$2:$I$1000,N149)))</f>
        <v/>
      </c>
      <c r="K149" s="11">
        <f>COUNTIF(Wires!$W$2:$W$1000,M149)+COUNTIF(Wires!$X$2:$X$1000,M149)</f>
        <v/>
      </c>
      <c r="L149" s="11">
        <f>IF(AND(K149=0,C149&lt;&gt;"",D149&lt;&gt;"NC"),"pino com sinal mas sem fio; ","")&amp;IF(AND(D149="NC",K149&gt;0),"pino NC com fio; ","")&amp;IF(AND(K149&gt;1,ISERROR(MATCH(IFERROR(INDEX(Connectors!$D$2:$D$1000,MATCH(A149,Connectors!$A$2:$A$1000,0)),""),{"SPLICE","STUD"},0))),"vários fios no mesmo pino; ","")</f>
        <v/>
      </c>
      <c r="M149" s="11">
        <f>A149&amp;":"&amp;B149&amp;IF(EXACT(B149,UPPER(B149)),"","|lc")</f>
        <v/>
      </c>
      <c r="N149" s="11">
        <f>IFERROR(MATCH(M149,Wires!$W$2:$W$1000,0),IFERROR(MATCH(M149,Wires!$X$2:$X$1000,0),""))</f>
        <v/>
      </c>
      <c r="O149" s="11">
        <f>IF(N149="","",IF(ISNUMBER(MATCH(M149,Wires!$W$2:$W$1000,0)),"from","to"))</f>
        <v/>
      </c>
    </row>
    <row r="150">
      <c r="A150" s="9" t="inlineStr">
        <is>
          <t>AMS J15</t>
        </is>
      </c>
      <c r="B150" s="9" t="inlineStr">
        <is>
          <t>2</t>
        </is>
      </c>
      <c r="C150" s="9" t="inlineStr">
        <is>
          <t>CHG_Can_H</t>
        </is>
      </c>
      <c r="D150" s="9" t="inlineStr">
        <is>
          <t>BIDIR</t>
        </is>
      </c>
      <c r="E150" s="9" t="inlineStr">
        <is>
          <t>5V</t>
        </is>
      </c>
      <c r="F150" s="11">
        <f>IF(N150="","",INDEX(Wires!$A$2:$A$1000,N150))</f>
        <v/>
      </c>
      <c r="G150" s="11">
        <f>IF(N150="","",INDEX(Wires!$C$2:$C$1000,N150))</f>
        <v/>
      </c>
      <c r="H150" s="11">
        <f>IF(N150="","",IF(O150="from",INDEX(Wires!$F$2:$F$1000,N150)&amp;":"&amp;INDEX(Wires!$G$2:$G$1000,N150),INDEX(Wires!$D$2:$D$1000,N150)&amp;":"&amp;INDEX(Wires!$E$2:$E$1000,N150)))</f>
        <v/>
      </c>
      <c r="I150" s="11">
        <f>IF(N150="","",INDEX(Wires!$H$2:$H$1000,N150)&amp;"")</f>
        <v/>
      </c>
      <c r="J150" s="11">
        <f>IF(N150="","",IF(INDEX(Wires!$I$2:$I$1000,N150)="","",INDEX(Wires!$I$2:$I$1000,N150)))</f>
        <v/>
      </c>
      <c r="K150" s="11">
        <f>COUNTIF(Wires!$W$2:$W$1000,M150)+COUNTIF(Wires!$X$2:$X$1000,M150)</f>
        <v/>
      </c>
      <c r="L150" s="11">
        <f>IF(AND(K150=0,C150&lt;&gt;"",D150&lt;&gt;"NC"),"pino com sinal mas sem fio; ","")&amp;IF(AND(D150="NC",K150&gt;0),"pino NC com fio; ","")&amp;IF(AND(K150&gt;1,ISERROR(MATCH(IFERROR(INDEX(Connectors!$D$2:$D$1000,MATCH(A150,Connectors!$A$2:$A$1000,0)),""),{"SPLICE","STUD"},0))),"vários fios no mesmo pino; ","")</f>
        <v/>
      </c>
      <c r="M150" s="11">
        <f>A150&amp;":"&amp;B150&amp;IF(EXACT(B150,UPPER(B150)),"","|lc")</f>
        <v/>
      </c>
      <c r="N150" s="11">
        <f>IFERROR(MATCH(M150,Wires!$W$2:$W$1000,0),IFERROR(MATCH(M150,Wires!$X$2:$X$1000,0),""))</f>
        <v/>
      </c>
      <c r="O150" s="11">
        <f>IF(N150="","",IF(ISNUMBER(MATCH(M150,Wires!$W$2:$W$1000,0)),"from","to"))</f>
        <v/>
      </c>
    </row>
    <row r="151">
      <c r="A151" s="9" t="inlineStr">
        <is>
          <t>AMS JUSB</t>
        </is>
      </c>
      <c r="B151" s="9" t="inlineStr">
        <is>
          <t>1</t>
        </is>
      </c>
      <c r="C151" s="9" t="inlineStr">
        <is>
          <t>5V</t>
        </is>
      </c>
      <c r="D151" s="9" t="inlineStr">
        <is>
          <t>IN</t>
        </is>
      </c>
      <c r="E151" s="9" t="inlineStr">
        <is>
          <t>5V</t>
        </is>
      </c>
      <c r="F151" s="11">
        <f>IF(N151="","",INDEX(Wires!$A$2:$A$1000,N151))</f>
        <v/>
      </c>
      <c r="G151" s="11">
        <f>IF(N151="","",INDEX(Wires!$C$2:$C$1000,N151))</f>
        <v/>
      </c>
      <c r="H151" s="11">
        <f>IF(N151="","",IF(O151="from",INDEX(Wires!$F$2:$F$1000,N151)&amp;":"&amp;INDEX(Wires!$G$2:$G$1000,N151),INDEX(Wires!$D$2:$D$1000,N151)&amp;":"&amp;INDEX(Wires!$E$2:$E$1000,N151)))</f>
        <v/>
      </c>
      <c r="I151" s="11">
        <f>IF(N151="","",INDEX(Wires!$H$2:$H$1000,N151)&amp;"")</f>
        <v/>
      </c>
      <c r="J151" s="11">
        <f>IF(N151="","",IF(INDEX(Wires!$I$2:$I$1000,N151)="","",INDEX(Wires!$I$2:$I$1000,N151)))</f>
        <v/>
      </c>
      <c r="K151" s="11">
        <f>COUNTIF(Wires!$W$2:$W$1000,M151)+COUNTIF(Wires!$X$2:$X$1000,M151)</f>
        <v/>
      </c>
      <c r="L151" s="11">
        <f>IF(AND(K151=0,C151&lt;&gt;"",D151&lt;&gt;"NC"),"pino com sinal mas sem fio; ","")&amp;IF(AND(D151="NC",K151&gt;0),"pino NC com fio; ","")&amp;IF(AND(K151&gt;1,ISERROR(MATCH(IFERROR(INDEX(Connectors!$D$2:$D$1000,MATCH(A151,Connectors!$A$2:$A$1000,0)),""),{"SPLICE","STUD"},0))),"vários fios no mesmo pino; ","")</f>
        <v/>
      </c>
      <c r="M151" s="11">
        <f>A151&amp;":"&amp;B151&amp;IF(EXACT(B151,UPPER(B151)),"","|lc")</f>
        <v/>
      </c>
      <c r="N151" s="11">
        <f>IFERROR(MATCH(M151,Wires!$W$2:$W$1000,0),IFERROR(MATCH(M151,Wires!$X$2:$X$1000,0),""))</f>
        <v/>
      </c>
      <c r="O151" s="11">
        <f>IF(N151="","",IF(ISNUMBER(MATCH(M151,Wires!$W$2:$W$1000,0)),"from","to"))</f>
        <v/>
      </c>
    </row>
    <row r="152">
      <c r="A152" s="9" t="inlineStr">
        <is>
          <t>AMS JUSB</t>
        </is>
      </c>
      <c r="B152" s="9" t="inlineStr">
        <is>
          <t>2</t>
        </is>
      </c>
      <c r="C152" s="9" t="inlineStr">
        <is>
          <t>USB+</t>
        </is>
      </c>
      <c r="D152" s="9" t="inlineStr">
        <is>
          <t>BIDIR</t>
        </is>
      </c>
      <c r="E152" s="9" t="inlineStr">
        <is>
          <t>5V</t>
        </is>
      </c>
      <c r="F152" s="11">
        <f>IF(N152="","",INDEX(Wires!$A$2:$A$1000,N152))</f>
        <v/>
      </c>
      <c r="G152" s="11">
        <f>IF(N152="","",INDEX(Wires!$C$2:$C$1000,N152))</f>
        <v/>
      </c>
      <c r="H152" s="11">
        <f>IF(N152="","",IF(O152="from",INDEX(Wires!$F$2:$F$1000,N152)&amp;":"&amp;INDEX(Wires!$G$2:$G$1000,N152),INDEX(Wires!$D$2:$D$1000,N152)&amp;":"&amp;INDEX(Wires!$E$2:$E$1000,N152)))</f>
        <v/>
      </c>
      <c r="I152" s="11">
        <f>IF(N152="","",INDEX(Wires!$H$2:$H$1000,N152)&amp;"")</f>
        <v/>
      </c>
      <c r="J152" s="11">
        <f>IF(N152="","",IF(INDEX(Wires!$I$2:$I$1000,N152)="","",INDEX(Wires!$I$2:$I$1000,N152)))</f>
        <v/>
      </c>
      <c r="K152" s="11">
        <f>COUNTIF(Wires!$W$2:$W$1000,M152)+COUNTIF(Wires!$X$2:$X$1000,M152)</f>
        <v/>
      </c>
      <c r="L152" s="11">
        <f>IF(AND(K152=0,C152&lt;&gt;"",D152&lt;&gt;"NC"),"pino com sinal mas sem fio; ","")&amp;IF(AND(D152="NC",K152&gt;0),"pino NC com fio; ","")&amp;IF(AND(K152&gt;1,ISERROR(MATCH(IFERROR(INDEX(Connectors!$D$2:$D$1000,MATCH(A152,Connectors!$A$2:$A$1000,0)),""),{"SPLICE","STUD"},0))),"vários fios no mesmo pino; ","")</f>
        <v/>
      </c>
      <c r="M152" s="11">
        <f>A152&amp;":"&amp;B152&amp;IF(EXACT(B152,UPPER(B152)),"","|lc")</f>
        <v/>
      </c>
      <c r="N152" s="11">
        <f>IFERROR(MATCH(M152,Wires!$W$2:$W$1000,0),IFERROR(MATCH(M152,Wires!$X$2:$X$1000,0),""))</f>
        <v/>
      </c>
      <c r="O152" s="11">
        <f>IF(N152="","",IF(ISNUMBER(MATCH(M152,Wires!$W$2:$W$1000,0)),"from","to"))</f>
        <v/>
      </c>
    </row>
    <row r="153">
      <c r="A153" s="9" t="inlineStr">
        <is>
          <t>AMS JUSB</t>
        </is>
      </c>
      <c r="B153" s="9" t="inlineStr">
        <is>
          <t>3</t>
        </is>
      </c>
      <c r="C153" s="9" t="inlineStr">
        <is>
          <t>USB-</t>
        </is>
      </c>
      <c r="D153" s="9" t="inlineStr">
        <is>
          <t>BIDIR</t>
        </is>
      </c>
      <c r="E153" s="9" t="inlineStr">
        <is>
          <t>5V</t>
        </is>
      </c>
      <c r="F153" s="11">
        <f>IF(N153="","",INDEX(Wires!$A$2:$A$1000,N153))</f>
        <v/>
      </c>
      <c r="G153" s="11">
        <f>IF(N153="","",INDEX(Wires!$C$2:$C$1000,N153))</f>
        <v/>
      </c>
      <c r="H153" s="11">
        <f>IF(N153="","",IF(O153="from",INDEX(Wires!$F$2:$F$1000,N153)&amp;":"&amp;INDEX(Wires!$G$2:$G$1000,N153),INDEX(Wires!$D$2:$D$1000,N153)&amp;":"&amp;INDEX(Wires!$E$2:$E$1000,N153)))</f>
        <v/>
      </c>
      <c r="I153" s="11">
        <f>IF(N153="","",INDEX(Wires!$H$2:$H$1000,N153)&amp;"")</f>
        <v/>
      </c>
      <c r="J153" s="11">
        <f>IF(N153="","",IF(INDEX(Wires!$I$2:$I$1000,N153)="","",INDEX(Wires!$I$2:$I$1000,N153)))</f>
        <v/>
      </c>
      <c r="K153" s="11">
        <f>COUNTIF(Wires!$W$2:$W$1000,M153)+COUNTIF(Wires!$X$2:$X$1000,M153)</f>
        <v/>
      </c>
      <c r="L153" s="11">
        <f>IF(AND(K153=0,C153&lt;&gt;"",D153&lt;&gt;"NC"),"pino com sinal mas sem fio; ","")&amp;IF(AND(D153="NC",K153&gt;0),"pino NC com fio; ","")&amp;IF(AND(K153&gt;1,ISERROR(MATCH(IFERROR(INDEX(Connectors!$D$2:$D$1000,MATCH(A153,Connectors!$A$2:$A$1000,0)),""),{"SPLICE","STUD"},0))),"vários fios no mesmo pino; ","")</f>
        <v/>
      </c>
      <c r="M153" s="11">
        <f>A153&amp;":"&amp;B153&amp;IF(EXACT(B153,UPPER(B153)),"","|lc")</f>
        <v/>
      </c>
      <c r="N153" s="11">
        <f>IFERROR(MATCH(M153,Wires!$W$2:$W$1000,0),IFERROR(MATCH(M153,Wires!$X$2:$X$1000,0),""))</f>
        <v/>
      </c>
      <c r="O153" s="11">
        <f>IF(N153="","",IF(ISNUMBER(MATCH(M153,Wires!$W$2:$W$1000,0)),"from","to"))</f>
        <v/>
      </c>
    </row>
    <row r="154">
      <c r="A154" s="9" t="inlineStr">
        <is>
          <t>AMS JUSB</t>
        </is>
      </c>
      <c r="B154" s="9" t="inlineStr">
        <is>
          <t>4</t>
        </is>
      </c>
      <c r="C154" s="9" t="inlineStr">
        <is>
          <t>GND</t>
        </is>
      </c>
      <c r="D154" s="9" t="inlineStr">
        <is>
          <t>BIDIR</t>
        </is>
      </c>
      <c r="E154" s="9" t="inlineStr">
        <is>
          <t>0V</t>
        </is>
      </c>
      <c r="F154" s="11">
        <f>IF(N154="","",INDEX(Wires!$A$2:$A$1000,N154))</f>
        <v/>
      </c>
      <c r="G154" s="11">
        <f>IF(N154="","",INDEX(Wires!$C$2:$C$1000,N154))</f>
        <v/>
      </c>
      <c r="H154" s="11">
        <f>IF(N154="","",IF(O154="from",INDEX(Wires!$F$2:$F$1000,N154)&amp;":"&amp;INDEX(Wires!$G$2:$G$1000,N154),INDEX(Wires!$D$2:$D$1000,N154)&amp;":"&amp;INDEX(Wires!$E$2:$E$1000,N154)))</f>
        <v/>
      </c>
      <c r="I154" s="11">
        <f>IF(N154="","",INDEX(Wires!$H$2:$H$1000,N154)&amp;"")</f>
        <v/>
      </c>
      <c r="J154" s="11">
        <f>IF(N154="","",IF(INDEX(Wires!$I$2:$I$1000,N154)="","",INDEX(Wires!$I$2:$I$1000,N154)))</f>
        <v/>
      </c>
      <c r="K154" s="11">
        <f>COUNTIF(Wires!$W$2:$W$1000,M154)+COUNTIF(Wires!$X$2:$X$1000,M154)</f>
        <v/>
      </c>
      <c r="L154" s="11">
        <f>IF(AND(K154=0,C154&lt;&gt;"",D154&lt;&gt;"NC"),"pino com sinal mas sem fio; ","")&amp;IF(AND(D154="NC",K154&gt;0),"pino NC com fio; ","")&amp;IF(AND(K154&gt;1,ISERROR(MATCH(IFERROR(INDEX(Connectors!$D$2:$D$1000,MATCH(A154,Connectors!$A$2:$A$1000,0)),""),{"SPLICE","STUD"},0))),"vários fios no mesmo pino; ","")</f>
        <v/>
      </c>
      <c r="M154" s="11">
        <f>A154&amp;":"&amp;B154&amp;IF(EXACT(B154,UPPER(B154)),"","|lc")</f>
        <v/>
      </c>
      <c r="N154" s="11">
        <f>IFERROR(MATCH(M154,Wires!$W$2:$W$1000,0),IFERROR(MATCH(M154,Wires!$X$2:$X$1000,0),""))</f>
        <v/>
      </c>
      <c r="O154" s="11">
        <f>IF(N154="","",IF(ISNUMBER(MATCH(M154,Wires!$W$2:$W$1000,0)),"from","to"))</f>
        <v/>
      </c>
    </row>
    <row r="155">
      <c r="A155" s="9" t="inlineStr">
        <is>
          <t>SPL AUX_VCC</t>
        </is>
      </c>
      <c r="B155" s="9" t="inlineStr">
        <is>
          <t>S</t>
        </is>
      </c>
      <c r="C155" s="9" t="inlineStr">
        <is>
          <t>AUX_VCC</t>
        </is>
      </c>
      <c r="D155" s="9" t="n"/>
      <c r="E155" s="9" t="n"/>
      <c r="F155" s="11">
        <f>IF(N155="","",INDEX(Wires!$A$2:$A$1000,N155))</f>
        <v/>
      </c>
      <c r="G155" s="11">
        <f>IF(N155="","",INDEX(Wires!$C$2:$C$1000,N155))</f>
        <v/>
      </c>
      <c r="H155" s="11">
        <f>IF(N155="","",IF(O155="from",INDEX(Wires!$F$2:$F$1000,N155)&amp;":"&amp;INDEX(Wires!$G$2:$G$1000,N155),INDEX(Wires!$D$2:$D$1000,N155)&amp;":"&amp;INDEX(Wires!$E$2:$E$1000,N155)))</f>
        <v/>
      </c>
      <c r="I155" s="11">
        <f>IF(N155="","",INDEX(Wires!$H$2:$H$1000,N155)&amp;"")</f>
        <v/>
      </c>
      <c r="J155" s="11">
        <f>IF(N155="","",IF(INDEX(Wires!$I$2:$I$1000,N155)="","",INDEX(Wires!$I$2:$I$1000,N155)))</f>
        <v/>
      </c>
      <c r="K155" s="11">
        <f>COUNTIF(Wires!$W$2:$W$1000,M155)+COUNTIF(Wires!$X$2:$X$1000,M155)</f>
        <v/>
      </c>
      <c r="L155" s="11">
        <f>IF(AND(K155=0,C155&lt;&gt;"",D155&lt;&gt;"NC"),"pino com sinal mas sem fio; ","")&amp;IF(AND(D155="NC",K155&gt;0),"pino NC com fio; ","")&amp;IF(AND(K155&gt;1,ISERROR(MATCH(IFERROR(INDEX(Connectors!$D$2:$D$1000,MATCH(A155,Connectors!$A$2:$A$1000,0)),""),{"SPLICE","STUD"},0))),"vários fios no mesmo pino; ","")</f>
        <v/>
      </c>
      <c r="M155" s="11">
        <f>A155&amp;":"&amp;B155&amp;IF(EXACT(B155,UPPER(B155)),"","|lc")</f>
        <v/>
      </c>
      <c r="N155" s="11">
        <f>IFERROR(MATCH(M155,Wires!$W$2:$W$1000,0),IFERROR(MATCH(M155,Wires!$X$2:$X$1000,0),""))</f>
        <v/>
      </c>
      <c r="O155" s="11">
        <f>IF(N155="","",IF(ISNUMBER(MATCH(M155,Wires!$W$2:$W$1000,0)),"from","to"))</f>
        <v/>
      </c>
    </row>
    <row r="156">
      <c r="A156" s="9" t="inlineStr">
        <is>
          <t>SPL AUX_GND</t>
        </is>
      </c>
      <c r="B156" s="9" t="inlineStr">
        <is>
          <t>S</t>
        </is>
      </c>
      <c r="C156" s="9" t="inlineStr">
        <is>
          <t>AUX_GND</t>
        </is>
      </c>
      <c r="D156" s="9" t="n"/>
      <c r="E156" s="9" t="n"/>
      <c r="F156" s="11">
        <f>IF(N156="","",INDEX(Wires!$A$2:$A$1000,N156))</f>
        <v/>
      </c>
      <c r="G156" s="11">
        <f>IF(N156="","",INDEX(Wires!$C$2:$C$1000,N156))</f>
        <v/>
      </c>
      <c r="H156" s="11">
        <f>IF(N156="","",IF(O156="from",INDEX(Wires!$F$2:$F$1000,N156)&amp;":"&amp;INDEX(Wires!$G$2:$G$1000,N156),INDEX(Wires!$D$2:$D$1000,N156)&amp;":"&amp;INDEX(Wires!$E$2:$E$1000,N156)))</f>
        <v/>
      </c>
      <c r="I156" s="11">
        <f>IF(N156="","",INDEX(Wires!$H$2:$H$1000,N156)&amp;"")</f>
        <v/>
      </c>
      <c r="J156" s="11">
        <f>IF(N156="","",IF(INDEX(Wires!$I$2:$I$1000,N156)="","",INDEX(Wires!$I$2:$I$1000,N156)))</f>
        <v/>
      </c>
      <c r="K156" s="11">
        <f>COUNTIF(Wires!$W$2:$W$1000,M156)+COUNTIF(Wires!$X$2:$X$1000,M156)</f>
        <v/>
      </c>
      <c r="L156" s="11">
        <f>IF(AND(K156=0,C156&lt;&gt;"",D156&lt;&gt;"NC"),"pino com sinal mas sem fio; ","")&amp;IF(AND(D156="NC",K156&gt;0),"pino NC com fio; ","")&amp;IF(AND(K156&gt;1,ISERROR(MATCH(IFERROR(INDEX(Connectors!$D$2:$D$1000,MATCH(A156,Connectors!$A$2:$A$1000,0)),""),{"SPLICE","STUD"},0))),"vários fios no mesmo pino; ","")</f>
        <v/>
      </c>
      <c r="M156" s="11">
        <f>A156&amp;":"&amp;B156&amp;IF(EXACT(B156,UPPER(B156)),"","|lc")</f>
        <v/>
      </c>
      <c r="N156" s="11">
        <f>IFERROR(MATCH(M156,Wires!$W$2:$W$1000,0),IFERROR(MATCH(M156,Wires!$X$2:$X$1000,0),""))</f>
        <v/>
      </c>
      <c r="O156" s="11">
        <f>IF(N156="","",IF(ISNUMBER(MATCH(M156,Wires!$W$2:$W$1000,0)),"from","to"))</f>
        <v/>
      </c>
    </row>
    <row r="157">
      <c r="A157" s="9" t="inlineStr">
        <is>
          <t>FUSE 1</t>
        </is>
      </c>
      <c r="B157" s="9" t="inlineStr">
        <is>
          <t>OUT</t>
        </is>
      </c>
      <c r="C157" s="9" t="n"/>
      <c r="D157" s="9" t="n"/>
      <c r="E157" s="9" t="n"/>
      <c r="F157" s="11">
        <f>IF(N157="","",INDEX(Wires!$A$2:$A$1000,N157))</f>
        <v/>
      </c>
      <c r="G157" s="11">
        <f>IF(N157="","",INDEX(Wires!$C$2:$C$1000,N157))</f>
        <v/>
      </c>
      <c r="H157" s="11">
        <f>IF(N157="","",IF(O157="from",INDEX(Wires!$F$2:$F$1000,N157)&amp;":"&amp;INDEX(Wires!$G$2:$G$1000,N157),INDEX(Wires!$D$2:$D$1000,N157)&amp;":"&amp;INDEX(Wires!$E$2:$E$1000,N157)))</f>
        <v/>
      </c>
      <c r="I157" s="11">
        <f>IF(N157="","",INDEX(Wires!$H$2:$H$1000,N157)&amp;"")</f>
        <v/>
      </c>
      <c r="J157" s="11">
        <f>IF(N157="","",IF(INDEX(Wires!$I$2:$I$1000,N157)="","",INDEX(Wires!$I$2:$I$1000,N157)))</f>
        <v/>
      </c>
      <c r="K157" s="11">
        <f>COUNTIF(Wires!$W$2:$W$1000,M157)+COUNTIF(Wires!$X$2:$X$1000,M157)</f>
        <v/>
      </c>
      <c r="L157" s="11">
        <f>IF(AND(K157=0,C157&lt;&gt;"",D157&lt;&gt;"NC"),"pino com sinal mas sem fio; ","")&amp;IF(AND(D157="NC",K157&gt;0),"pino NC com fio; ","")&amp;IF(AND(K157&gt;1,ISERROR(MATCH(IFERROR(INDEX(Connectors!$D$2:$D$1000,MATCH(A157,Connectors!$A$2:$A$1000,0)),""),{"SPLICE","STUD"},0))),"vários fios no mesmo pino; ","")</f>
        <v/>
      </c>
      <c r="M157" s="11">
        <f>A157&amp;":"&amp;B157&amp;IF(EXACT(B157,UPPER(B157)),"","|lc")</f>
        <v/>
      </c>
      <c r="N157" s="11">
        <f>IFERROR(MATCH(M157,Wires!$W$2:$W$1000,0),IFERROR(MATCH(M157,Wires!$X$2:$X$1000,0),""))</f>
        <v/>
      </c>
      <c r="O157" s="11">
        <f>IF(N157="","",IF(ISNUMBER(MATCH(M157,Wires!$W$2:$W$1000,0)),"from","to"))</f>
        <v/>
      </c>
    </row>
    <row r="158">
      <c r="A158" s="9" t="inlineStr">
        <is>
          <t>FUSE 2</t>
        </is>
      </c>
      <c r="B158" s="9" t="inlineStr">
        <is>
          <t>OUT</t>
        </is>
      </c>
      <c r="C158" s="9" t="n"/>
      <c r="D158" s="9" t="n"/>
      <c r="E158" s="9" t="n"/>
      <c r="F158" s="11">
        <f>IF(N158="","",INDEX(Wires!$A$2:$A$1000,N158))</f>
        <v/>
      </c>
      <c r="G158" s="11">
        <f>IF(N158="","",INDEX(Wires!$C$2:$C$1000,N158))</f>
        <v/>
      </c>
      <c r="H158" s="11">
        <f>IF(N158="","",IF(O158="from",INDEX(Wires!$F$2:$F$1000,N158)&amp;":"&amp;INDEX(Wires!$G$2:$G$1000,N158),INDEX(Wires!$D$2:$D$1000,N158)&amp;":"&amp;INDEX(Wires!$E$2:$E$1000,N158)))</f>
        <v/>
      </c>
      <c r="I158" s="11">
        <f>IF(N158="","",INDEX(Wires!$H$2:$H$1000,N158)&amp;"")</f>
        <v/>
      </c>
      <c r="J158" s="11">
        <f>IF(N158="","",IF(INDEX(Wires!$I$2:$I$1000,N158)="","",INDEX(Wires!$I$2:$I$1000,N158)))</f>
        <v/>
      </c>
      <c r="K158" s="11">
        <f>COUNTIF(Wires!$W$2:$W$1000,M158)+COUNTIF(Wires!$X$2:$X$1000,M158)</f>
        <v/>
      </c>
      <c r="L158" s="11">
        <f>IF(AND(K158=0,C158&lt;&gt;"",D158&lt;&gt;"NC"),"pino com sinal mas sem fio; ","")&amp;IF(AND(D158="NC",K158&gt;0),"pino NC com fio; ","")&amp;IF(AND(K158&gt;1,ISERROR(MATCH(IFERROR(INDEX(Connectors!$D$2:$D$1000,MATCH(A158,Connectors!$A$2:$A$1000,0)),""),{"SPLICE","STUD"},0))),"vários fios no mesmo pino; ","")</f>
        <v/>
      </c>
      <c r="M158" s="11">
        <f>A158&amp;":"&amp;B158&amp;IF(EXACT(B158,UPPER(B158)),"","|lc")</f>
        <v/>
      </c>
      <c r="N158" s="11">
        <f>IFERROR(MATCH(M158,Wires!$W$2:$W$1000,0),IFERROR(MATCH(M158,Wires!$X$2:$X$1000,0),""))</f>
        <v/>
      </c>
      <c r="O158" s="11">
        <f>IF(N158="","",IF(ISNUMBER(MATCH(M158,Wires!$W$2:$W$1000,0)),"from","to"))</f>
        <v/>
      </c>
    </row>
    <row r="159">
      <c r="A159" s="9" t="inlineStr">
        <is>
          <t>VI LED</t>
        </is>
      </c>
      <c r="B159" s="9" t="inlineStr">
        <is>
          <t>1</t>
        </is>
      </c>
      <c r="C159" s="9" t="n"/>
      <c r="D159" s="9" t="n"/>
      <c r="E159" s="9" t="n"/>
      <c r="F159" s="11">
        <f>IF(N159="","",INDEX(Wires!$A$2:$A$1000,N159))</f>
        <v/>
      </c>
      <c r="G159" s="11">
        <f>IF(N159="","",INDEX(Wires!$C$2:$C$1000,N159))</f>
        <v/>
      </c>
      <c r="H159" s="11">
        <f>IF(N159="","",IF(O159="from",INDEX(Wires!$F$2:$F$1000,N159)&amp;":"&amp;INDEX(Wires!$G$2:$G$1000,N159),INDEX(Wires!$D$2:$D$1000,N159)&amp;":"&amp;INDEX(Wires!$E$2:$E$1000,N159)))</f>
        <v/>
      </c>
      <c r="I159" s="11">
        <f>IF(N159="","",INDEX(Wires!$H$2:$H$1000,N159)&amp;"")</f>
        <v/>
      </c>
      <c r="J159" s="11">
        <f>IF(N159="","",IF(INDEX(Wires!$I$2:$I$1000,N159)="","",INDEX(Wires!$I$2:$I$1000,N159)))</f>
        <v/>
      </c>
      <c r="K159" s="11">
        <f>COUNTIF(Wires!$W$2:$W$1000,M159)+COUNTIF(Wires!$X$2:$X$1000,M159)</f>
        <v/>
      </c>
      <c r="L159" s="11">
        <f>IF(AND(K159=0,C159&lt;&gt;"",D159&lt;&gt;"NC"),"pino com sinal mas sem fio; ","")&amp;IF(AND(D159="NC",K159&gt;0),"pino NC com fio; ","")&amp;IF(AND(K159&gt;1,ISERROR(MATCH(IFERROR(INDEX(Connectors!$D$2:$D$1000,MATCH(A159,Connectors!$A$2:$A$1000,0)),""),{"SPLICE","STUD"},0))),"vários fios no mesmo pino; ","")</f>
        <v/>
      </c>
      <c r="M159" s="11">
        <f>A159&amp;":"&amp;B159&amp;IF(EXACT(B159,UPPER(B159)),"","|lc")</f>
        <v/>
      </c>
      <c r="N159" s="11">
        <f>IFERROR(MATCH(M159,Wires!$W$2:$W$1000,0),IFERROR(MATCH(M159,Wires!$X$2:$X$1000,0),""))</f>
        <v/>
      </c>
      <c r="O159" s="11">
        <f>IF(N159="","",IF(ISNUMBER(MATCH(M159,Wires!$W$2:$W$1000,0)),"from","to"))</f>
        <v/>
      </c>
    </row>
    <row r="160">
      <c r="A160" s="9" t="inlineStr">
        <is>
          <t>VI LED</t>
        </is>
      </c>
      <c r="B160" s="9" t="inlineStr">
        <is>
          <t>2</t>
        </is>
      </c>
      <c r="C160" s="9" t="n"/>
      <c r="D160" s="9" t="n"/>
      <c r="E160" s="9" t="n"/>
      <c r="F160" s="11">
        <f>IF(N160="","",INDEX(Wires!$A$2:$A$1000,N160))</f>
        <v/>
      </c>
      <c r="G160" s="11">
        <f>IF(N160="","",INDEX(Wires!$C$2:$C$1000,N160))</f>
        <v/>
      </c>
      <c r="H160" s="11">
        <f>IF(N160="","",IF(O160="from",INDEX(Wires!$F$2:$F$1000,N160)&amp;":"&amp;INDEX(Wires!$G$2:$G$1000,N160),INDEX(Wires!$D$2:$D$1000,N160)&amp;":"&amp;INDEX(Wires!$E$2:$E$1000,N160)))</f>
        <v/>
      </c>
      <c r="I160" s="11">
        <f>IF(N160="","",INDEX(Wires!$H$2:$H$1000,N160)&amp;"")</f>
        <v/>
      </c>
      <c r="J160" s="11">
        <f>IF(N160="","",IF(INDEX(Wires!$I$2:$I$1000,N160)="","",INDEX(Wires!$I$2:$I$1000,N160)))</f>
        <v/>
      </c>
      <c r="K160" s="11">
        <f>COUNTIF(Wires!$W$2:$W$1000,M160)+COUNTIF(Wires!$X$2:$X$1000,M160)</f>
        <v/>
      </c>
      <c r="L160" s="11">
        <f>IF(AND(K160=0,C160&lt;&gt;"",D160&lt;&gt;"NC"),"pino com sinal mas sem fio; ","")&amp;IF(AND(D160="NC",K160&gt;0),"pino NC com fio; ","")&amp;IF(AND(K160&gt;1,ISERROR(MATCH(IFERROR(INDEX(Connectors!$D$2:$D$1000,MATCH(A160,Connectors!$A$2:$A$1000,0)),""),{"SPLICE","STUD"},0))),"vários fios no mesmo pino; ","")</f>
        <v/>
      </c>
      <c r="M160" s="11">
        <f>A160&amp;":"&amp;B160&amp;IF(EXACT(B160,UPPER(B160)),"","|lc")</f>
        <v/>
      </c>
      <c r="N160" s="11">
        <f>IFERROR(MATCH(M160,Wires!$W$2:$W$1000,0),IFERROR(MATCH(M160,Wires!$X$2:$X$1000,0),""))</f>
        <v/>
      </c>
      <c r="O160" s="11">
        <f>IF(N160="","",IF(ISNUMBER(MATCH(M160,Wires!$W$2:$W$1000,0)),"from","to"))</f>
        <v/>
      </c>
    </row>
    <row r="161">
      <c r="A161" s="9" t="inlineStr">
        <is>
          <t>ACCU CHASSIS</t>
        </is>
      </c>
      <c r="B161" s="9" t="inlineStr">
        <is>
          <t>GND</t>
        </is>
      </c>
      <c r="C161" s="9" t="n"/>
      <c r="D161" s="9" t="n"/>
      <c r="E161" s="9" t="n"/>
      <c r="F161" s="11">
        <f>IF(N161="","",INDEX(Wires!$A$2:$A$1000,N161))</f>
        <v/>
      </c>
      <c r="G161" s="11">
        <f>IF(N161="","",INDEX(Wires!$C$2:$C$1000,N161))</f>
        <v/>
      </c>
      <c r="H161" s="11">
        <f>IF(N161="","",IF(O161="from",INDEX(Wires!$F$2:$F$1000,N161)&amp;":"&amp;INDEX(Wires!$G$2:$G$1000,N161),INDEX(Wires!$D$2:$D$1000,N161)&amp;":"&amp;INDEX(Wires!$E$2:$E$1000,N161)))</f>
        <v/>
      </c>
      <c r="I161" s="11">
        <f>IF(N161="","",INDEX(Wires!$H$2:$H$1000,N161)&amp;"")</f>
        <v/>
      </c>
      <c r="J161" s="11">
        <f>IF(N161="","",IF(INDEX(Wires!$I$2:$I$1000,N161)="","",INDEX(Wires!$I$2:$I$1000,N161)))</f>
        <v/>
      </c>
      <c r="K161" s="11">
        <f>COUNTIF(Wires!$W$2:$W$1000,M161)+COUNTIF(Wires!$X$2:$X$1000,M161)</f>
        <v/>
      </c>
      <c r="L161" s="11">
        <f>IF(AND(K161=0,C161&lt;&gt;"",D161&lt;&gt;"NC"),"pino com sinal mas sem fio; ","")&amp;IF(AND(D161="NC",K161&gt;0),"pino NC com fio; ","")&amp;IF(AND(K161&gt;1,ISERROR(MATCH(IFERROR(INDEX(Connectors!$D$2:$D$1000,MATCH(A161,Connectors!$A$2:$A$1000,0)),""),{"SPLICE","STUD"},0))),"vários fios no mesmo pino; ","")</f>
        <v/>
      </c>
      <c r="M161" s="11">
        <f>A161&amp;":"&amp;B161&amp;IF(EXACT(B161,UPPER(B161)),"","|lc")</f>
        <v/>
      </c>
      <c r="N161" s="11">
        <f>IFERROR(MATCH(M161,Wires!$W$2:$W$1000,0),IFERROR(MATCH(M161,Wires!$X$2:$X$1000,0),""))</f>
        <v/>
      </c>
      <c r="O161" s="11">
        <f>IF(N161="","",IF(ISNUMBER(MATCH(M161,Wires!$W$2:$W$1000,0)),"from","to"))</f>
        <v/>
      </c>
    </row>
  </sheetData>
  <autoFilter ref="A1:O161"/>
  <conditionalFormatting sqref="L2:L1000">
    <cfRule type="expression" priority="1" dxfId="0">
      <formula>LEN(L2)&gt;0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9" t="inlineStr">
        <is>
          <t>RTS718N32S03</t>
        </is>
      </c>
      <c r="B2" s="10" t="inlineStr">
        <is>
          <t>Amphenol</t>
        </is>
      </c>
      <c r="C2" s="9" t="inlineStr">
        <is>
          <t>receptáculo circular</t>
        </is>
      </c>
      <c r="D2" s="9" t="inlineStr">
        <is>
          <t>Série RTS7, casco 18, 32 contactos (inserto 18-32), fêmea</t>
        </is>
      </c>
      <c r="E2" s="9" t="n"/>
      <c r="F2" s="9" t="inlineStr">
        <is>
          <t>nome da peça no modelo 3D</t>
        </is>
      </c>
      <c r="G2" s="9" t="inlineStr">
        <is>
          <t>N</t>
        </is>
      </c>
      <c r="H2" s="12" t="n"/>
    </row>
    <row r="3">
      <c r="A3" s="9" t="inlineStr">
        <is>
          <t>HVSLS600022B1H6</t>
        </is>
      </c>
      <c r="B3" s="9" t="n"/>
      <c r="C3" s="9" t="inlineStr">
        <is>
          <t>conector HV</t>
        </is>
      </c>
      <c r="D3" s="9" t="inlineStr">
        <is>
          <t>2 pólos HV + interlock (HVIL)</t>
        </is>
      </c>
      <c r="E3" s="9" t="n"/>
      <c r="F3" s="9" t="inlineStr">
        <is>
          <t>nome da peça no modelo 3D</t>
        </is>
      </c>
      <c r="G3" s="9" t="inlineStr">
        <is>
          <t>N</t>
        </is>
      </c>
      <c r="H3" s="12" t="n"/>
    </row>
    <row r="4">
      <c r="A4" s="9" t="inlineStr">
        <is>
          <t>43045-1628</t>
        </is>
      </c>
      <c r="B4" s="9" t="inlineStr">
        <is>
          <t>Molex</t>
        </is>
      </c>
      <c r="C4" s="9" t="inlineStr">
        <is>
          <t>header PCB</t>
        </is>
      </c>
      <c r="D4" s="9" t="inlineStr">
        <is>
          <t>Micro-Fit 3.0, 16 vias, 2 filas</t>
        </is>
      </c>
      <c r="E4" s="9" t="n"/>
      <c r="F4" s="9" t="inlineStr">
        <is>
          <t>folha BMS do Excel original</t>
        </is>
      </c>
      <c r="G4" s="9" t="inlineStr">
        <is>
          <t>Y</t>
        </is>
      </c>
      <c r="H4" s="12" t="n"/>
    </row>
    <row r="5">
      <c r="A5" s="9" t="inlineStr">
        <is>
          <t>43045-0228</t>
        </is>
      </c>
      <c r="B5" s="9" t="inlineStr">
        <is>
          <t>Molex</t>
        </is>
      </c>
      <c r="C5" s="9" t="inlineStr">
        <is>
          <t>header PCB</t>
        </is>
      </c>
      <c r="D5" s="9" t="inlineStr">
        <is>
          <t>Micro-Fit 3.0, 2 vias</t>
        </is>
      </c>
      <c r="E5" s="9" t="n"/>
      <c r="F5" s="9" t="inlineStr">
        <is>
          <t>folha BMS do Excel original</t>
        </is>
      </c>
      <c r="G5" s="9" t="inlineStr">
        <is>
          <t>Y</t>
        </is>
      </c>
      <c r="H5" s="12" t="n"/>
    </row>
    <row r="6">
      <c r="A6" s="9" t="inlineStr">
        <is>
          <t>43025-1600</t>
        </is>
      </c>
      <c r="B6" s="9" t="inlineStr">
        <is>
          <t>Molex</t>
        </is>
      </c>
      <c r="C6" s="9" t="inlineStr">
        <is>
          <t>ficha (housing)</t>
        </is>
      </c>
      <c r="D6" s="9" t="inlineStr">
        <is>
          <t>Micro-Fit 3.0 receptáculo 16 vias — contraparte do 43045-1628</t>
        </is>
      </c>
      <c r="E6" s="9" t="n"/>
      <c r="F6" s="9" t="inlineStr">
        <is>
          <t>proposta</t>
        </is>
      </c>
      <c r="G6" s="9" t="inlineStr">
        <is>
          <t>N</t>
        </is>
      </c>
      <c r="H6" s="12" t="n"/>
    </row>
    <row r="7">
      <c r="A7" s="9" t="inlineStr">
        <is>
          <t>43025-0200</t>
        </is>
      </c>
      <c r="B7" s="9" t="inlineStr">
        <is>
          <t>Molex</t>
        </is>
      </c>
      <c r="C7" s="9" t="inlineStr">
        <is>
          <t>ficha (housing)</t>
        </is>
      </c>
      <c r="D7" s="9" t="inlineStr">
        <is>
          <t>Micro-Fit 3.0 receptáculo 2 vias — contraparte do 43045-0228</t>
        </is>
      </c>
      <c r="E7" s="9" t="n"/>
      <c r="F7" s="9" t="inlineStr">
        <is>
          <t>proposta</t>
        </is>
      </c>
      <c r="G7" s="9" t="inlineStr">
        <is>
          <t>N</t>
        </is>
      </c>
      <c r="H7" s="12" t="n"/>
    </row>
    <row r="8">
      <c r="A8" s="9" t="inlineStr">
        <is>
          <t>43030-0001</t>
        </is>
      </c>
      <c r="B8" s="9" t="inlineStr">
        <is>
          <t>Molex</t>
        </is>
      </c>
      <c r="C8" s="9" t="inlineStr">
        <is>
          <t>crimp fêmea</t>
        </is>
      </c>
      <c r="D8" s="9" t="inlineStr">
        <is>
          <t>Micro-Fit 3.0, estanhado</t>
        </is>
      </c>
      <c r="E8" s="9" t="inlineStr">
        <is>
          <t>20–24 AWG</t>
        </is>
      </c>
      <c r="F8" s="9" t="inlineStr">
        <is>
          <t>proposta</t>
        </is>
      </c>
      <c r="G8" s="9" t="inlineStr">
        <is>
          <t>N</t>
        </is>
      </c>
      <c r="H8" s="12" t="n"/>
    </row>
    <row r="9">
      <c r="A9" s="10" t="inlineStr">
        <is>
          <t>1-794617-0</t>
        </is>
      </c>
      <c r="B9" s="9" t="inlineStr">
        <is>
          <t>TE Micro MATE-N-LOK</t>
        </is>
      </c>
      <c r="C9" s="9" t="inlineStr">
        <is>
          <t>ficha</t>
        </is>
      </c>
      <c r="D9" s="9" t="inlineStr">
        <is>
          <t>10 vias · Acquisition, BSPD, Latch (10 vias)</t>
        </is>
      </c>
      <c r="E9" s="9" t="n"/>
      <c r="F9" s="9" t="inlineStr">
        <is>
          <t>Notion · LART Central / Electronics / Inventory Management / BOM Management / Connectors Harness (2026-10-22)</t>
        </is>
      </c>
      <c r="G9" s="9" t="inlineStr">
        <is>
          <t>N</t>
        </is>
      </c>
      <c r="H9" s="12" t="n"/>
    </row>
    <row r="10">
      <c r="A10" s="10" t="inlineStr">
        <is>
          <t>1-794617-2</t>
        </is>
      </c>
      <c r="B10" s="9" t="inlineStr">
        <is>
          <t>TE Micro MATE-N-LOK</t>
        </is>
      </c>
      <c r="C10" s="9" t="inlineStr">
        <is>
          <t>ficha</t>
        </is>
      </c>
      <c r="D10" s="9" t="inlineStr">
        <is>
          <t>12 vias · Acquisition, TSAL Green (12 vias)</t>
        </is>
      </c>
      <c r="E10" s="9" t="n"/>
      <c r="F10" s="9" t="inlineStr">
        <is>
          <t>Notion · LART Central / Electronics / Inventory Management / BOM Management / Connectors Harness (2026-10-22)</t>
        </is>
      </c>
      <c r="G10" s="9" t="inlineStr">
        <is>
          <t>N</t>
        </is>
      </c>
      <c r="H10" s="12" t="n"/>
    </row>
    <row r="11">
      <c r="A11" s="10" t="inlineStr">
        <is>
          <t>794611-1</t>
        </is>
      </c>
      <c r="B11" s="9" t="inlineStr">
        <is>
          <t>TE Micro MATE-N-LOK</t>
        </is>
      </c>
      <c r="C11" s="9" t="inlineStr">
        <is>
          <t>crimp</t>
        </is>
      </c>
      <c r="D11" s="9" t="inlineStr">
        <is>
          <t>contacto fêmea Micro MATE-N-LOK (AWG por confirmar)</t>
        </is>
      </c>
      <c r="E11" s="9" t="n"/>
      <c r="F11" s="9" t="inlineStr">
        <is>
          <t>Notion · LART Central / Electronics / Inventory Management / BOM Management / Connectors Harness (2026-10-22)</t>
        </is>
      </c>
      <c r="G11" s="9" t="inlineStr">
        <is>
          <t>N</t>
        </is>
      </c>
      <c r="H11" s="12" t="n"/>
    </row>
    <row r="12">
      <c r="A12" s="10" t="inlineStr">
        <is>
          <t>MS20W23F-10</t>
        </is>
      </c>
      <c r="B12" s="9" t="inlineStr">
        <is>
          <t>Amphenol Sine RTS (ecomate, circular)</t>
        </is>
      </c>
      <c r="C12" s="9" t="inlineStr">
        <is>
          <t>crimp</t>
        </is>
      </c>
      <c r="D12" s="9" t="inlineStr">
        <is>
          <t>contacto fêmea tamanho 20, crimp</t>
        </is>
      </c>
      <c r="E12" s="9" t="inlineStr">
        <is>
          <t>20–22 AWG</t>
        </is>
      </c>
      <c r="F12" s="9" t="inlineStr">
        <is>
          <t>Notion · LART Central / Electronics / Inventory Management / BOM Management / Connectors Harness (2026-10-22)</t>
        </is>
      </c>
      <c r="G12" s="9" t="inlineStr">
        <is>
          <t>N</t>
        </is>
      </c>
      <c r="H12" s="12" t="n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  <row r="2">
      <c r="A2" s="9" t="inlineStr">
        <is>
          <t>S01</t>
        </is>
      </c>
      <c r="B2" s="9" t="inlineStr">
        <is>
          <t>ISA X1</t>
        </is>
      </c>
      <c r="C2" s="9" t="inlineStr">
        <is>
          <t>BP1</t>
        </is>
      </c>
      <c r="D2" s="9" t="n">
        <v>140</v>
      </c>
      <c r="E2" s="9" t="inlineStr">
        <is>
          <t>ACCU</t>
        </is>
      </c>
    </row>
    <row r="3">
      <c r="A3" s="9" t="inlineStr">
        <is>
          <t>S02</t>
        </is>
      </c>
      <c r="B3" s="9" t="inlineStr">
        <is>
          <t>AIR- J1</t>
        </is>
      </c>
      <c r="C3" s="9" t="inlineStr">
        <is>
          <t>BP1</t>
        </is>
      </c>
      <c r="D3" s="9" t="n">
        <v>50</v>
      </c>
      <c r="E3" s="9" t="inlineStr">
        <is>
          <t>ACCU</t>
        </is>
      </c>
    </row>
    <row r="4">
      <c r="A4" s="9" t="inlineStr">
        <is>
          <t>S03</t>
        </is>
      </c>
      <c r="B4" s="9" t="inlineStr">
        <is>
          <t>AIR- J2</t>
        </is>
      </c>
      <c r="C4" s="9" t="inlineStr">
        <is>
          <t>BP1</t>
        </is>
      </c>
      <c r="D4" s="9" t="n">
        <v>30</v>
      </c>
      <c r="E4" s="9" t="inlineStr">
        <is>
          <t>ACCU</t>
        </is>
      </c>
    </row>
    <row r="5">
      <c r="A5" s="9" t="inlineStr">
        <is>
          <t>S04</t>
        </is>
      </c>
      <c r="B5" s="9" t="inlineStr">
        <is>
          <t>BP1</t>
        </is>
      </c>
      <c r="C5" s="9" t="inlineStr">
        <is>
          <t>BP2</t>
        </is>
      </c>
      <c r="D5" s="9" t="n">
        <v>95</v>
      </c>
      <c r="E5" s="9" t="inlineStr">
        <is>
          <t>ACCU</t>
        </is>
      </c>
    </row>
    <row r="6">
      <c r="A6" s="9" t="inlineStr">
        <is>
          <t>S05</t>
        </is>
      </c>
      <c r="B6" s="9" t="inlineStr">
        <is>
          <t>PRE J2</t>
        </is>
      </c>
      <c r="C6" s="9" t="inlineStr">
        <is>
          <t>BP2</t>
        </is>
      </c>
      <c r="D6" s="9" t="n">
        <v>100</v>
      </c>
      <c r="E6" s="9" t="inlineStr">
        <is>
          <t>ACCU</t>
        </is>
      </c>
    </row>
    <row r="7">
      <c r="A7" s="9" t="inlineStr">
        <is>
          <t>S06</t>
        </is>
      </c>
      <c r="B7" s="9" t="inlineStr">
        <is>
          <t>PRE J1</t>
        </is>
      </c>
      <c r="C7" s="9" t="inlineStr">
        <is>
          <t>BP2</t>
        </is>
      </c>
      <c r="D7" s="9" t="n">
        <v>150</v>
      </c>
      <c r="E7" s="9" t="inlineStr">
        <is>
          <t>ACCU</t>
        </is>
      </c>
    </row>
    <row r="8">
      <c r="A8" s="9" t="inlineStr">
        <is>
          <t>S07</t>
        </is>
      </c>
      <c r="B8" s="9" t="inlineStr">
        <is>
          <t>AIR+ J2</t>
        </is>
      </c>
      <c r="C8" s="9" t="inlineStr">
        <is>
          <t>BP2</t>
        </is>
      </c>
      <c r="D8" s="9" t="n">
        <v>60</v>
      </c>
      <c r="E8" s="9" t="inlineStr">
        <is>
          <t>ACCU</t>
        </is>
      </c>
    </row>
    <row r="9">
      <c r="A9" s="9" t="inlineStr">
        <is>
          <t>S08</t>
        </is>
      </c>
      <c r="B9" s="9" t="inlineStr">
        <is>
          <t>AIR+ J1</t>
        </is>
      </c>
      <c r="C9" s="9" t="inlineStr">
        <is>
          <t>BP2</t>
        </is>
      </c>
      <c r="D9" s="9" t="n">
        <v>60</v>
      </c>
      <c r="E9" s="9" t="inlineStr">
        <is>
          <t>ACCU</t>
        </is>
      </c>
    </row>
    <row r="10">
      <c r="A10" s="9" t="inlineStr">
        <is>
          <t>S09</t>
        </is>
      </c>
      <c r="B10" s="9" t="inlineStr">
        <is>
          <t>BP2</t>
        </is>
      </c>
      <c r="C10" s="9" t="inlineStr">
        <is>
          <t>BP3</t>
        </is>
      </c>
      <c r="D10" s="9" t="n">
        <v>140</v>
      </c>
      <c r="E10" s="9" t="inlineStr">
        <is>
          <t>ACCU</t>
        </is>
      </c>
    </row>
    <row r="11">
      <c r="A11" s="9" t="inlineStr">
        <is>
          <t>S10</t>
        </is>
      </c>
      <c r="B11" s="9" t="inlineStr">
        <is>
          <t>BP2</t>
        </is>
      </c>
      <c r="C11" s="9" t="inlineStr">
        <is>
          <t>BP4</t>
        </is>
      </c>
      <c r="D11" s="9" t="n">
        <v>195</v>
      </c>
      <c r="E11" s="9" t="inlineStr">
        <is>
          <t>ACCU</t>
        </is>
      </c>
    </row>
    <row r="12">
      <c r="A12" s="9" t="inlineStr">
        <is>
          <t>S11</t>
        </is>
      </c>
      <c r="B12" s="9" t="inlineStr">
        <is>
          <t>ACCU J2</t>
        </is>
      </c>
      <c r="C12" s="9" t="inlineStr">
        <is>
          <t>BP3</t>
        </is>
      </c>
      <c r="D12" s="9" t="n">
        <v>40</v>
      </c>
      <c r="E12" s="9" t="inlineStr">
        <is>
          <t>ACCU</t>
        </is>
      </c>
    </row>
    <row r="13">
      <c r="A13" s="9" t="inlineStr">
        <is>
          <t>S12</t>
        </is>
      </c>
      <c r="B13" s="9" t="inlineStr">
        <is>
          <t>VI LED</t>
        </is>
      </c>
      <c r="C13" s="9" t="inlineStr">
        <is>
          <t>BP3</t>
        </is>
      </c>
      <c r="D13" s="9" t="n">
        <v>40</v>
      </c>
      <c r="E13" s="9" t="inlineStr">
        <is>
          <t>ACCU</t>
        </is>
      </c>
    </row>
    <row r="14">
      <c r="A14" s="9" t="inlineStr">
        <is>
          <t>S13</t>
        </is>
      </c>
      <c r="B14" s="9" t="inlineStr">
        <is>
          <t>LATCH J1</t>
        </is>
      </c>
      <c r="C14" s="9" t="inlineStr">
        <is>
          <t>BP4</t>
        </is>
      </c>
      <c r="D14" s="9" t="n">
        <v>145</v>
      </c>
      <c r="E14" s="9" t="inlineStr">
        <is>
          <t>ACCU</t>
        </is>
      </c>
    </row>
    <row r="15">
      <c r="A15" s="9" t="inlineStr">
        <is>
          <t>S14</t>
        </is>
      </c>
      <c r="B15" s="9" t="inlineStr">
        <is>
          <t>VI J3</t>
        </is>
      </c>
      <c r="C15" s="9" t="inlineStr">
        <is>
          <t>BP4</t>
        </is>
      </c>
      <c r="D15" s="9" t="n">
        <v>85</v>
      </c>
      <c r="E15" s="9" t="inlineStr">
        <is>
          <t>ACCU</t>
        </is>
      </c>
    </row>
    <row r="16">
      <c r="A16" s="9" t="inlineStr">
        <is>
          <t>S15</t>
        </is>
      </c>
      <c r="B16" s="9" t="inlineStr">
        <is>
          <t>TSAL D2</t>
        </is>
      </c>
      <c r="C16" s="9" t="inlineStr">
        <is>
          <t>BP4</t>
        </is>
      </c>
      <c r="D16" s="9" t="n">
        <v>170</v>
      </c>
      <c r="E16" s="9" t="inlineStr">
        <is>
          <t>ACCU</t>
        </is>
      </c>
    </row>
    <row r="17">
      <c r="A17" s="9" t="inlineStr">
        <is>
          <t>S16</t>
        </is>
      </c>
      <c r="B17" s="9" t="inlineStr">
        <is>
          <t>BP4</t>
        </is>
      </c>
      <c r="C17" s="9" t="inlineStr">
        <is>
          <t>BP5</t>
        </is>
      </c>
      <c r="D17" s="9" t="n">
        <v>35</v>
      </c>
      <c r="E17" s="9" t="inlineStr">
        <is>
          <t>ACCU</t>
        </is>
      </c>
    </row>
    <row r="18">
      <c r="A18" s="9" t="inlineStr">
        <is>
          <t>S17</t>
        </is>
      </c>
      <c r="B18" s="9" t="inlineStr">
        <is>
          <t>IMD XK1A</t>
        </is>
      </c>
      <c r="C18" s="9" t="inlineStr">
        <is>
          <t>BP5</t>
        </is>
      </c>
      <c r="D18" s="9" t="n">
        <v>85</v>
      </c>
      <c r="E18" s="9" t="inlineStr">
        <is>
          <t>ACCU</t>
        </is>
      </c>
    </row>
    <row r="19">
      <c r="A19" s="9" t="inlineStr">
        <is>
          <t>S18</t>
        </is>
      </c>
      <c r="B19" s="9" t="inlineStr">
        <is>
          <t>BP5</t>
        </is>
      </c>
      <c r="C19" s="9" t="inlineStr">
        <is>
          <t>BP6</t>
        </is>
      </c>
      <c r="D19" s="9" t="n">
        <v>65</v>
      </c>
      <c r="E19" s="9" t="inlineStr">
        <is>
          <t>ACCU</t>
        </is>
      </c>
    </row>
    <row r="20">
      <c r="A20" s="9" t="inlineStr">
        <is>
          <t>S19</t>
        </is>
      </c>
      <c r="B20" s="9" t="inlineStr">
        <is>
          <t>ACCU J1</t>
        </is>
      </c>
      <c r="C20" s="9" t="inlineStr">
        <is>
          <t>BP6</t>
        </is>
      </c>
      <c r="D20" s="9" t="n">
        <v>190</v>
      </c>
      <c r="E20" s="9" t="inlineStr">
        <is>
          <t>ACCU</t>
        </is>
      </c>
    </row>
    <row r="21">
      <c r="A21" s="9" t="inlineStr">
        <is>
          <t>S20</t>
        </is>
      </c>
      <c r="B21" s="9" t="inlineStr">
        <is>
          <t>BP6</t>
        </is>
      </c>
      <c r="C21" s="9" t="inlineStr">
        <is>
          <t>BP7</t>
        </is>
      </c>
      <c r="D21" s="9" t="n">
        <v>55</v>
      </c>
      <c r="E21" s="9" t="inlineStr">
        <is>
          <t>ACCU</t>
        </is>
      </c>
    </row>
    <row r="22">
      <c r="A22" s="9" t="inlineStr">
        <is>
          <t>S21</t>
        </is>
      </c>
      <c r="B22" s="9" t="inlineStr">
        <is>
          <t>AMS J12</t>
        </is>
      </c>
      <c r="C22" s="9" t="inlineStr">
        <is>
          <t>BP7</t>
        </is>
      </c>
      <c r="D22" s="9" t="n">
        <v>190</v>
      </c>
      <c r="E22" s="9" t="inlineStr">
        <is>
          <t>ACCU</t>
        </is>
      </c>
    </row>
    <row r="23">
      <c r="A23" s="9" t="inlineStr">
        <is>
          <t>S22</t>
        </is>
      </c>
      <c r="B23" s="9" t="inlineStr">
        <is>
          <t>AMS J15</t>
        </is>
      </c>
      <c r="C23" s="9" t="inlineStr">
        <is>
          <t>BP7</t>
        </is>
      </c>
      <c r="D23" s="9" t="n">
        <v>190</v>
      </c>
      <c r="E23" s="9" t="inlineStr">
        <is>
          <t>ACCU</t>
        </is>
      </c>
    </row>
    <row r="24">
      <c r="A24" s="9" t="inlineStr">
        <is>
          <t>S23</t>
        </is>
      </c>
      <c r="B24" s="9" t="inlineStr">
        <is>
          <t>AMS J13</t>
        </is>
      </c>
      <c r="C24" s="9" t="inlineStr">
        <is>
          <t>BP7</t>
        </is>
      </c>
      <c r="D24" s="9" t="n">
        <v>190</v>
      </c>
      <c r="E24" s="9" t="inlineStr">
        <is>
          <t>ACCU</t>
        </is>
      </c>
    </row>
    <row r="25">
      <c r="A25" s="9" t="inlineStr">
        <is>
          <t>S24</t>
        </is>
      </c>
      <c r="B25" s="9" t="inlineStr">
        <is>
          <t>AMS J14</t>
        </is>
      </c>
      <c r="C25" s="9" t="inlineStr">
        <is>
          <t>BP7</t>
        </is>
      </c>
      <c r="D25" s="9" t="n">
        <v>190</v>
      </c>
      <c r="E25" s="9" t="inlineStr">
        <is>
          <t>ACCU</t>
        </is>
      </c>
    </row>
    <row r="26">
      <c r="A26" s="9" t="inlineStr">
        <is>
          <t>S25</t>
        </is>
      </c>
      <c r="B26" s="9" t="inlineStr">
        <is>
          <t>AMS J10</t>
        </is>
      </c>
      <c r="C26" s="9" t="inlineStr">
        <is>
          <t>BP7</t>
        </is>
      </c>
      <c r="D26" s="9" t="n">
        <v>140</v>
      </c>
      <c r="E26" s="9" t="inlineStr">
        <is>
          <t>ACCU</t>
        </is>
      </c>
    </row>
    <row r="27">
      <c r="A27" s="9" t="inlineStr">
        <is>
          <t>S26</t>
        </is>
      </c>
      <c r="B27" s="9" t="inlineStr">
        <is>
          <t>AMS J11</t>
        </is>
      </c>
      <c r="C27" s="9" t="inlineStr">
        <is>
          <t>BP7</t>
        </is>
      </c>
      <c r="D27" s="9" t="n">
        <v>170</v>
      </c>
      <c r="E27" s="9" t="inlineStr">
        <is>
          <t>ACCU</t>
        </is>
      </c>
    </row>
  </sheetData>
  <autoFilter ref="A1:E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  <row r="2">
      <c r="A2" s="9" t="inlineStr">
        <is>
          <t>BP1</t>
        </is>
      </c>
      <c r="B2" s="12" t="n"/>
      <c r="C2" s="12" t="n"/>
      <c r="D2" s="12" t="n"/>
      <c r="E2" s="9" t="inlineStr">
        <is>
          <t>ponto de ramificação do RapidHarness; xyz a medir no 3D (modo pick)</t>
        </is>
      </c>
    </row>
    <row r="3">
      <c r="A3" s="9" t="inlineStr">
        <is>
          <t>BP2</t>
        </is>
      </c>
      <c r="B3" s="12" t="n"/>
      <c r="C3" s="12" t="n"/>
      <c r="D3" s="12" t="n"/>
      <c r="E3" s="9" t="inlineStr">
        <is>
          <t>ponto de ramificação do RapidHarness; xyz a medir no 3D (modo pick)</t>
        </is>
      </c>
    </row>
    <row r="4">
      <c r="A4" s="9" t="inlineStr">
        <is>
          <t>BP3</t>
        </is>
      </c>
      <c r="B4" s="12" t="n"/>
      <c r="C4" s="12" t="n"/>
      <c r="D4" s="12" t="n"/>
      <c r="E4" s="9" t="inlineStr">
        <is>
          <t>ponto de ramificação do RapidHarness; xyz a medir no 3D (modo pick)</t>
        </is>
      </c>
    </row>
    <row r="5">
      <c r="A5" s="9" t="inlineStr">
        <is>
          <t>BP4</t>
        </is>
      </c>
      <c r="B5" s="12" t="n"/>
      <c r="C5" s="12" t="n"/>
      <c r="D5" s="12" t="n"/>
      <c r="E5" s="9" t="inlineStr">
        <is>
          <t>ponto de ramificação do RapidHarness; xyz a medir no 3D (modo pick)</t>
        </is>
      </c>
    </row>
    <row r="6">
      <c r="A6" s="9" t="inlineStr">
        <is>
          <t>BP5</t>
        </is>
      </c>
      <c r="B6" s="12" t="n"/>
      <c r="C6" s="12" t="n"/>
      <c r="D6" s="12" t="n"/>
      <c r="E6" s="9" t="inlineStr">
        <is>
          <t>ponto de ramificação do RapidHarness; xyz a medir no 3D (modo pick)</t>
        </is>
      </c>
    </row>
    <row r="7">
      <c r="A7" s="9" t="inlineStr">
        <is>
          <t>BP6</t>
        </is>
      </c>
      <c r="B7" s="12" t="n"/>
      <c r="C7" s="12" t="n"/>
      <c r="D7" s="12" t="n"/>
      <c r="E7" s="9" t="inlineStr">
        <is>
          <t>ponto de ramificação do RapidHarness; xyz a medir no 3D (modo pick)</t>
        </is>
      </c>
    </row>
    <row r="8">
      <c r="A8" s="9" t="inlineStr">
        <is>
          <t>BP7</t>
        </is>
      </c>
      <c r="B8" s="12" t="n"/>
      <c r="C8" s="12" t="n"/>
      <c r="D8" s="12" t="n"/>
      <c r="E8" s="9" t="inlineStr">
        <is>
          <t>ponto de ramificação do RapidHarness; xyz a medir no 3D (modo pick)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LATCH J1:5/6 ↔ ACCU J1:g/j</t>
        </is>
      </c>
      <c r="D2" s="2" t="inlineStr">
        <is>
          <t>A folha Latchboard liga +24V (pino 5) ao ACCU J1:j e GND (pino 6) ao ACCU J1:g. Na folha ACCU J1, g = AUX VCC e j = AUX GND. Feito pela folha Latchboard, a latchboard fica com a polaridade invertida.</t>
        </is>
      </c>
      <c r="E2" s="2" t="inlineStr">
        <is>
          <t>Folha ACCU J1: LATCH J1:5 ↔ g (AUX VCC), LATCH J1:6 ↔ j (AUX GND)</t>
        </is>
      </c>
      <c r="F2" s="2" t="inlineStr">
        <is>
          <t>Folha Latchboard: LATCH J1:5 ↔ j, LATCH J1:6 ↔ g</t>
        </is>
      </c>
      <c r="G2" s="2" t="inlineStr">
        <is>
          <t>A — as duas folhas concordam que 5 = +24V e g = AUX VCC; só a letra de destino na folha Latchboard está trocada.</t>
        </is>
      </c>
      <c r="H2" s="12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ACCU J1:D/E ↔ AMS J11:2/16</t>
        </is>
      </c>
      <c r="D3" s="2" t="inlineStr">
        <is>
          <t>Dis_SDC e Dis_Trigg trocados entre as folhas. Há ainda uma cópia solta "D | Dis_SDC | Out" nas colunas M–U da folha ACCU J1.</t>
        </is>
      </c>
      <c r="E3" s="2" t="inlineStr">
        <is>
          <t>Folha AMS (+ cópia solta): D = Dis_SDC ↔ AMS J11:2, E = Dis_Trigg ↔ AMS J11:16</t>
        </is>
      </c>
      <c r="F3" s="2" t="inlineStr">
        <is>
          <t>Folha ACCU J1: D = Dis_Trigg ↔ AMS J11:16, E = Dis_SDC ↔ AMS J11:2</t>
        </is>
      </c>
      <c r="G3" s="2" t="inlineStr">
        <is>
          <t>A — PROVISÓRIO. Confirmar no conector montado / esquema.</t>
        </is>
      </c>
      <c r="H3" s="12" t="n"/>
      <c r="I3" s="9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ACCU J1:N/P (ventoinhas)</t>
        </is>
      </c>
      <c r="D4" s="2" t="inlineStr">
        <is>
          <t>A folha ACCU J1 manda as ventoinhas para AMS J12:5/6, que estão NC. A folha AMS e o pinout da placa (folha BMS: J11 pinos 5–8 = FAN_OUT) põem-nas no J11.</t>
        </is>
      </c>
      <c r="E4" s="2" t="inlineStr">
        <is>
          <t>AMS J11:5/6</t>
        </is>
      </c>
      <c r="F4" s="2" t="inlineStr">
        <is>
          <t>AMS J12:5/6</t>
        </is>
      </c>
      <c r="G4" s="2" t="inlineStr">
        <is>
          <t>A</t>
        </is>
      </c>
      <c r="H4" s="12" t="n"/>
      <c r="I4" s="9" t="inlineStr">
        <is>
          <t>aberto</t>
        </is>
      </c>
      <c r="J4" s="11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AMS J14 ↔ ISA X1 (CAN)</t>
        </is>
      </c>
      <c r="D5" s="2" t="inlineStr">
        <is>
          <t>A folha AMS liga CAN L → ISA X1:4 e CAN H → X1:3. A folha ISA diz X1:2 = CAN H, X1:3 = CAN L, X1:4 = +24V (e a própria folha AMS liga J11:12 +24V → X1:4). Como estava, o CAN L ia aos 24V.</t>
        </is>
      </c>
      <c r="E5" s="2" t="inlineStr">
        <is>
          <t>Folha ISA: AMS J14:1 (L) ↔ X1:3, AMS J14:2 (H) ↔ X1:2</t>
        </is>
      </c>
      <c r="F5" s="2" t="inlineStr">
        <is>
          <t>Folha AMS: J14:1 ↔ X1:4, J14:2 ↔ X1:3</t>
        </is>
      </c>
      <c r="G5" s="2" t="inlineStr">
        <is>
          <t>A — confirmar com o datasheet do sensor ISA.</t>
        </is>
      </c>
      <c r="H5" s="12" t="n"/>
      <c r="I5" s="9" t="inlineStr">
        <is>
          <t>aberto</t>
        </is>
      </c>
      <c r="J5" s="11">
        <f>COUNTIF(Wires!$U$2:$U$1000,"*"&amp;A5&amp;"*")</f>
        <v/>
      </c>
    </row>
    <row r="6">
      <c r="A6" s="2" t="inlineStr">
        <is>
          <t>I-05</t>
        </is>
      </c>
      <c r="B6" s="2" t="inlineStr">
        <is>
          <t>importante</t>
        </is>
      </c>
      <c r="C6" s="2" t="inlineStr">
        <is>
          <t>AMS J10:15 → TSAL D2</t>
        </is>
      </c>
      <c r="D6" s="2" t="inlineStr">
        <is>
          <t>AMS J10:15 (AIR- Inten) aponta para TSAL D2:4, que é o AIR- Real. A TSAL D2:5 é AIR- Inten → J10:15.</t>
        </is>
      </c>
      <c r="E6" s="2" t="inlineStr">
        <is>
          <t>TSAL D2:5</t>
        </is>
      </c>
      <c r="F6" s="2" t="inlineStr">
        <is>
          <t>TSAL D2:4</t>
        </is>
      </c>
      <c r="G6" s="2" t="inlineStr">
        <is>
          <t>A</t>
        </is>
      </c>
      <c r="H6" s="12" t="n"/>
      <c r="I6" s="9" t="inlineStr">
        <is>
          <t>aberto</t>
        </is>
      </c>
      <c r="J6" s="11">
        <f>COUNTIF(Wires!$U$2:$U$1000,"*"&amp;A6&amp;"*")</f>
        <v/>
      </c>
    </row>
    <row r="7">
      <c r="A7" s="2" t="inlineStr">
        <is>
          <t>I-06</t>
        </is>
      </c>
      <c r="B7" s="2" t="inlineStr">
        <is>
          <t>importante</t>
        </is>
      </c>
      <c r="C7" s="2" t="inlineStr">
        <is>
          <t>ACCU J2 interlock</t>
        </is>
      </c>
      <c r="D7" s="2" t="inlineStr">
        <is>
          <t>A folha ACCU J1 liga IL+/IL- a AMS J11:10/14 (são os pinos do AIR+ J1 — parece copiado do bloco AIR+). As folhas Latchboard (J1:9 → IL+) e ACCU J1 (B → IL-) dizem que o interlock está em série no SDC. A vossa nota na coluna L já levantava esta dúvida.</t>
        </is>
      </c>
      <c r="E7" s="2" t="inlineStr">
        <is>
          <t>LATCH J1:9 → ACCU J2:IL+ ; ACCU J2:IL- → ACCU J1:B (SDC passa pelo HVIL)</t>
        </is>
      </c>
      <c r="F7" s="2" t="inlineStr">
        <is>
          <t>ACCU J2:IL+ ↔ AMS J11:10 ; IL- ↔ AMS J11:14</t>
        </is>
      </c>
      <c r="G7" s="2" t="inlineStr">
        <is>
          <t>A — labels de IL+/IL- mudados para Latch_SDC / ACC_SDC.</t>
        </is>
      </c>
      <c r="H7" s="12" t="n"/>
      <c r="I7" s="9" t="inlineStr">
        <is>
          <t>aberto</t>
        </is>
      </c>
      <c r="J7" s="11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AMS J12 vs pinout da placa</t>
        </is>
      </c>
      <c r="D8" s="2" t="inlineStr">
        <is>
          <t>Cablagem: J12:10 = AMS S, 11 = GND, 12 = +24V. Pinout da placa (folha BMS, 3.º header 43045-1628, "J?"): 9 = 24V_PDM, 11 = AMS_ERROR, 12 = vazio, GND em 1/6/14. Se a placa estiver certa, o AMS fica sem alimentação e o AMS_ERROR fica ligado a GND.</t>
        </is>
      </c>
      <c r="E8" s="2" t="inlineStr">
        <is>
          <t>Manter a cablagem (folhas AMS/ACCU/Latch concordam entre si)</t>
        </is>
      </c>
      <c r="F8" s="2" t="inlineStr">
        <is>
          <t>Seguir o pinout da placa</t>
        </is>
      </c>
      <c r="G8" s="2" t="inlineStr">
        <is>
          <t>Nada mudado — DECIDIR. Confirmar também que esse header é o J12.</t>
        </is>
      </c>
      <c r="H8" s="12" t="n"/>
      <c r="I8" s="9" t="inlineStr">
        <is>
          <t>aberto</t>
        </is>
      </c>
      <c r="J8" s="11">
        <f>COUNTIF(Wires!$U$2:$U$1000,"*"&amp;A8&amp;"*")</f>
        <v/>
      </c>
    </row>
    <row r="9">
      <c r="A9" s="2" t="inlineStr">
        <is>
          <t>I-08</t>
        </is>
      </c>
      <c r="B9" s="2" t="inlineStr">
        <is>
          <t>menor</t>
        </is>
      </c>
      <c r="C9" s="2" t="inlineStr">
        <is>
          <t>ACCU J1:R/S/T/U ↔ AMS JUSB</t>
        </is>
      </c>
      <c r="D9" s="2" t="inlineStr">
        <is>
          <t>Na folha ACCU J1 o destino é só "AMS", sem conector nem pino. As cores do JUSB (VT/GN/VT/GN) parecem copiadas do CAN do carregador e o GND tem direção "High". O JUSB não tem P/N.</t>
        </is>
      </c>
      <c r="E9" s="2" t="inlineStr">
        <is>
          <t>Pinos da folha AMS: R ↔ JUSB:1, T ↔ 2, S ↔ 3, U ↔ 4</t>
        </is>
      </c>
      <c r="F9" s="2" t="n"/>
      <c r="G9" s="2" t="inlineStr">
        <is>
          <t>A — cores mantidas mas a confirmar.</t>
        </is>
      </c>
      <c r="H9" s="12" t="n"/>
      <c r="I9" s="9" t="inlineStr">
        <is>
          <t>aberto</t>
        </is>
      </c>
      <c r="J9" s="11">
        <f>COUNTIF(Wires!$U$2:$U$1000,"*"&amp;A9&amp;"*")</f>
        <v/>
      </c>
    </row>
    <row r="10">
      <c r="A10" s="2" t="inlineStr">
        <is>
          <t>I-09</t>
        </is>
      </c>
      <c r="B10" s="2" t="inlineStr">
        <is>
          <t>menor</t>
        </is>
      </c>
      <c r="C10" s="2" t="inlineStr">
        <is>
          <t>AIR- J2</t>
        </is>
      </c>
      <c r="D10" s="2" t="inlineStr">
        <is>
          <t>A linha AIR-_12V não tem número de pino.</t>
        </is>
      </c>
      <c r="E10" s="2" t="inlineStr">
        <is>
          <t>Pino 1 (igual a AIR+ J2 / PRE J2, e AMS J10:6 → AIR- J2:1)</t>
        </is>
      </c>
      <c r="F10" s="2" t="n"/>
      <c r="G10" s="2" t="inlineStr">
        <is>
          <t>A</t>
        </is>
      </c>
      <c r="H10" s="12" t="n"/>
      <c r="I10" s="9" t="inlineStr">
        <is>
          <t>aberto</t>
        </is>
      </c>
      <c r="J10" s="11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menor</t>
        </is>
      </c>
      <c r="C11" s="2" t="inlineStr">
        <is>
          <t>ACCU J1:a/b, TSAL D2:7/11</t>
        </is>
      </c>
      <c r="D11" s="2" t="inlineStr">
        <is>
          <t>Descrições trocadas entre as duas pontas (TSAL LEDs vs Cockpit LED; Pre Real vs Pre Inten).</t>
        </is>
      </c>
      <c r="E11" s="2" t="inlineStr">
        <is>
          <t>Descrições da folha TSAL (a/b) e AMS (7/11)</t>
        </is>
      </c>
      <c r="F11" s="2" t="inlineStr">
        <is>
          <t>Descrições da folha ACCU J1 / TSAL</t>
        </is>
      </c>
      <c r="G11" s="2" t="inlineStr">
        <is>
          <t>A</t>
        </is>
      </c>
      <c r="H11" s="12" t="n"/>
      <c r="I11" s="9" t="inlineStr">
        <is>
          <t>aberto</t>
        </is>
      </c>
      <c r="J11" s="11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info</t>
        </is>
      </c>
      <c r="C12" s="2" t="inlineStr">
        <is>
          <t>nomes</t>
        </is>
      </c>
      <c r="D12" s="2" t="inlineStr">
        <is>
          <t>Nomes normalizados: ASMS J11 → AMS J11; ACCUJ2 → ACCU J2; Latch/LatchBoard/Latchboard → LATCH J1; PreCharge → PRE; blocos J1/J2 da folha AUX → AIR-/AIR+/PRE/ISA; terminais A1/A2 → "&lt;disp&gt; HV"; XLA +/- → IMD XLA; "Interlock +" → IL+; Fuse 1/2 → pino OUT; ACCU Chassi → ACCU CHASSIS:GND.</t>
        </is>
      </c>
      <c r="E12" s="2" t="n"/>
      <c r="F12" s="2" t="n"/>
      <c r="G12" s="2" t="inlineStr">
        <is>
          <t>aplicado</t>
        </is>
      </c>
      <c r="H12" s="12" t="n"/>
      <c r="I12" s="9" t="inlineStr">
        <is>
          <t>aberto</t>
        </is>
      </c>
      <c r="J12" s="11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info</t>
        </is>
      </c>
      <c r="C13" s="2" t="inlineStr">
        <is>
          <t>cores</t>
        </is>
      </c>
      <c r="D13" s="2" t="inlineStr">
        <is>
          <t>Cores convertidas para IEC 60757: Blue/blue → BU, Brown/Broown → BN, prrpul → VT, White → WH, Yellow → YE, Orange → OG, red → RD, green → GN.</t>
        </is>
      </c>
      <c r="E13" s="2" t="n"/>
      <c r="F13" s="2" t="n"/>
      <c r="G13" s="2" t="inlineStr">
        <is>
          <t>aplicado</t>
        </is>
      </c>
      <c r="H13" s="12" t="n"/>
      <c r="I13" s="9" t="inlineStr">
        <is>
          <t>aberto</t>
        </is>
      </c>
      <c r="J13" s="11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info</t>
        </is>
      </c>
      <c r="C14" s="2" t="inlineStr">
        <is>
          <t>todos os fios</t>
        </is>
      </c>
      <c r="D14" s="2" t="inlineStr">
        <is>
          <t>Em falta no original: P/N do cabo, secção, comprimento, nome do fio e P/N da maior parte das fichas/crimps.</t>
        </is>
      </c>
      <c r="E14" s="2" t="n"/>
      <c r="F14" s="2" t="n"/>
      <c r="G14" s="2" t="inlineStr">
        <is>
          <t>Secção 0,5 mm² proposta; wire_id gerado; comprimento pela topologia.</t>
        </is>
      </c>
      <c r="H14" s="12" t="n"/>
      <c r="I14" s="9" t="inlineStr">
        <is>
          <t>aberto</t>
        </is>
      </c>
      <c r="J14" s="11">
        <f>COUNTIF(Wires!$U$2:$U$1000,"*"&amp;A14&amp;"*")</f>
        <v/>
      </c>
    </row>
    <row r="15">
      <c r="A15" s="2" t="inlineStr">
        <is>
          <t>I-14</t>
        </is>
      </c>
      <c r="B15" s="2" t="inlineStr">
        <is>
          <t>importante</t>
        </is>
      </c>
      <c r="C15" s="2" t="inlineStr">
        <is>
          <t>topologia RapidHarness</t>
        </is>
      </c>
      <c r="D15" s="2" t="inlineStr">
        <is>
          <t>Não estão no RapidHarness: VI J1, TSAL J1, IMD XLA, FUSE 1, FUSE 2, AIR- HV, ACCU CHASSIS, AMS JUSB e os splices — os fios HV de medida não têm rota nem comprimento.</t>
        </is>
      </c>
      <c r="E15" s="2" t="inlineStr">
        <is>
          <t>Acrescentar ao RapidHarness e à folha Segments</t>
        </is>
      </c>
      <c r="F15" s="2" t="n"/>
      <c r="G15" s="2" t="n"/>
      <c r="H15" s="12" t="n"/>
      <c r="I15" s="9" t="inlineStr">
        <is>
          <t>aberto</t>
        </is>
      </c>
      <c r="J15" s="11">
        <f>COUNTIF(Wires!$U$2:$U$1000,"*"&amp;A15&amp;"*")</f>
        <v/>
      </c>
    </row>
    <row r="16">
      <c r="A16" s="2" t="inlineStr">
        <is>
          <t>I-15</t>
        </is>
      </c>
      <c r="B16" s="2" t="inlineStr">
        <is>
          <t>menor</t>
        </is>
      </c>
      <c r="C16" s="2" t="inlineStr">
        <is>
          <t>ACCU J1:g e :j</t>
        </is>
      </c>
      <c r="D16" s="2" t="inlineStr">
        <is>
          <t>Cada um alimenta 3 placas (TSAL, Latch, IMD). Um contacto tamanho 20 não leva 3 fios → criados os splices SPL AUX_VCC e SPL AUX_GND.</t>
        </is>
      </c>
      <c r="E16" s="2" t="inlineStr">
        <is>
          <t>Splice perto do BP5 (entre IMD e TSAL/Latch)</t>
        </is>
      </c>
      <c r="F16" s="2" t="n"/>
      <c r="G16" s="2" t="inlineStr">
        <is>
          <t>Splices criados; posição por definir.</t>
        </is>
      </c>
      <c r="H16" s="12" t="n"/>
      <c r="I16" s="9" t="inlineStr">
        <is>
          <t>aberto</t>
        </is>
      </c>
      <c r="J16" s="11">
        <f>COUNTIF(Wires!$U$2:$U$1000,"*"&amp;A16&amp;"*")</f>
        <v/>
      </c>
    </row>
    <row r="17">
      <c r="A17" s="2" t="inlineStr">
        <is>
          <t>I-16</t>
        </is>
      </c>
      <c r="B17" s="2" t="inlineStr">
        <is>
          <t>menor</t>
        </is>
      </c>
      <c r="C17" s="2" t="inlineStr">
        <is>
          <t>FUSE 1 e AIR- HV:A2</t>
        </is>
      </c>
      <c r="D17" s="2" t="inlineStr">
        <is>
          <t>Cada um recebe 3 fios HV de medida (VI, IMD, TSAL).</t>
        </is>
      </c>
      <c r="E17" s="2" t="inlineStr">
        <is>
          <t>Olhais no mesmo perno (type STUD)</t>
        </is>
      </c>
      <c r="F17" s="2" t="inlineStr">
        <is>
          <t>Splice HV</t>
        </is>
      </c>
      <c r="G17" s="2" t="inlineStr">
        <is>
          <t>A (STUD) — confirmar.</t>
        </is>
      </c>
      <c r="H17" s="12" t="n"/>
      <c r="I17" s="9" t="inlineStr">
        <is>
          <t>aberto</t>
        </is>
      </c>
      <c r="J17" s="11">
        <f>COUNTIF(Wires!$U$2:$U$1000,"*"&amp;A17&amp;"*")</f>
        <v/>
      </c>
    </row>
    <row r="18">
      <c r="A18" s="2" t="inlineStr">
        <is>
          <t>I-17</t>
        </is>
      </c>
      <c r="B18" s="2" t="inlineStr">
        <is>
          <t>info</t>
        </is>
      </c>
      <c r="C18" s="2" t="inlineStr">
        <is>
          <t>cores CAN</t>
        </is>
      </c>
      <c r="D18" s="2" t="inlineStr">
        <is>
          <t>O CAN PT L é azul, a mesma cor do SDC. Propostos pares entrançados (twist_group) para CAN e USB.</t>
        </is>
      </c>
      <c r="E18" s="2" t="n"/>
      <c r="F18" s="2" t="n"/>
      <c r="G18" s="2" t="inlineStr">
        <is>
          <t>twist_group proposto</t>
        </is>
      </c>
      <c r="H18" s="12" t="n"/>
      <c r="I18" s="9" t="inlineStr">
        <is>
          <t>aberto</t>
        </is>
      </c>
      <c r="J18" s="11">
        <f>COUNTIF(Wires!$U$2:$U$1000,"*"&amp;A18&amp;"*")</f>
        <v/>
      </c>
    </row>
  </sheetData>
  <autoFilter ref="A1:J18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  <row r="2">
      <c r="A2" s="9" t="inlineStr">
        <is>
          <t>Notas</t>
        </is>
      </c>
      <c r="B2" s="9" t="inlineStr">
        <is>
          <t>Em falta</t>
        </is>
      </c>
    </row>
    <row r="3">
      <c r="A3" s="9" t="inlineStr">
        <is>
          <t>Notas</t>
        </is>
      </c>
      <c r="B3" s="9" t="inlineStr">
        <is>
          <t>Conectores do BMS</t>
        </is>
      </c>
    </row>
    <row r="4">
      <c r="A4" s="9" t="inlineStr">
        <is>
          <t>Notas</t>
        </is>
      </c>
      <c r="B4" s="9" t="inlineStr">
        <is>
          <t>Pinos do VI</t>
        </is>
      </c>
    </row>
    <row r="5">
      <c r="A5" s="9" t="inlineStr">
        <is>
          <t>Notas</t>
        </is>
      </c>
      <c r="B5" s="9" t="inlineStr">
        <is>
          <t>Conector circular</t>
        </is>
      </c>
    </row>
    <row r="6">
      <c r="A6" s="9" t="inlineStr">
        <is>
          <t>Notas</t>
        </is>
      </c>
      <c r="B6" s="9" t="inlineStr">
        <is>
          <t>Coisas Pedidas ao duro</t>
        </is>
      </c>
    </row>
    <row r="7">
      <c r="A7" s="9" t="inlineStr">
        <is>
          <t>Notas</t>
        </is>
      </c>
      <c r="B7" s="9" t="inlineStr">
        <is>
          <t>Manga preta da mais fina e a segunda mais fina</t>
        </is>
      </c>
    </row>
    <row r="8">
      <c r="A8" s="9" t="inlineStr">
        <is>
          <t>Notas</t>
        </is>
      </c>
      <c r="B8" s="9" t="inlineStr">
        <is>
          <t>itictadora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2026-10-22T22:33:26Z</dcterms:created>
  <dcterms:modified xsi:type="dcterms:W3CDTF">2026-10-22T22:33:27Z</dcterms:modified>
</cp:coreProperties>
</file>