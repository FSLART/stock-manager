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'Wires'!$A$1:$Z$38</definedName>
    <definedName name="_xlnm._FilterDatabase" localSheetId="2" hidden="1">'Connectors'!$A$1:$T$24</definedName>
    <definedName name="_xlnm._FilterDatabase" localSheetId="3" hidden="1">'Pins'!$A$1:$O$53</definedName>
    <definedName name="_xlnm._FilterDatabase" localSheetId="4" hidden="1">'Parts'!$A$1:$H$3</definedName>
    <definedName name="_xlnm._FilterDatabase" localSheetId="5" hidden="1">'Segments'!$A$1:$E$22</definedName>
    <definedName name="_xlnm._FilterDatabase" localSheetId="6" hidden="1">'Nodes'!$A$1:$E$13</definedName>
    <definedName name="_xlnm._FilterDatabase" localSheetId="7" hidden="1">'Issues'!$A$1:$J$20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4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Side Panel: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SidePanel_Harnes_Pinouts.xlsx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W-SIDEPANEL-001</t>
        </is>
      </c>
      <c r="B2" s="10" t="inlineStr">
        <is>
          <t>SIDEPANEL</t>
        </is>
      </c>
      <c r="C2" s="10" t="inlineStr">
        <is>
          <t>ASMS-1</t>
        </is>
      </c>
      <c r="D2" s="10" t="inlineStr">
        <is>
          <t>SPL ASMS-1</t>
        </is>
      </c>
      <c r="E2" s="10" t="inlineStr">
        <is>
          <t>S</t>
        </is>
      </c>
      <c r="F2" s="10" t="inlineStr">
        <is>
          <t>SIDEPANEL J1</t>
        </is>
      </c>
      <c r="G2" s="10" t="inlineStr">
        <is>
          <t>J</t>
        </is>
      </c>
      <c r="H2" s="11" t="n"/>
      <c r="I2" s="11" t="n"/>
      <c r="J2" s="12">
        <f>IF(I2="","",IFERROR(INDEX(Lists!$F$3:$F$17,MATCH(I2,Lists!$E$3:$E$17,0)),"?"))</f>
        <v/>
      </c>
      <c r="K2" s="10" t="inlineStr">
        <is>
          <t>N</t>
        </is>
      </c>
      <c r="L2" s="10" t="inlineStr">
        <is>
          <t>24V</t>
        </is>
      </c>
      <c r="M2" s="11" t="n"/>
      <c r="N2" s="12">
        <f>IF(D2="","",IFERROR(INDEX(Connectors!$J$2:$J$1000,MATCH(D2,Connectors!$A$2:$A$1000,0))&amp;"",""))</f>
        <v/>
      </c>
      <c r="O2" s="12">
        <f>IF(F2="","",IFERROR(INDEX(Connectors!$J$2:$J$1000,MATCH(F2,Connectors!$A$2:$A$1000,0))&amp;"",""))</f>
        <v/>
      </c>
      <c r="P2" s="10" t="n"/>
      <c r="Q2" s="10" t="n"/>
      <c r="R2" s="11" t="n"/>
      <c r="S2" s="10" t="inlineStr">
        <is>
          <t>Race Key Signal Supply</t>
        </is>
      </c>
      <c r="T2" s="10" t="inlineStr">
        <is>
          <t>2 pontas</t>
        </is>
      </c>
      <c r="U2" s="9" t="inlineStr">
        <is>
          <t>I-01</t>
        </is>
      </c>
      <c r="V2" s="12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2">
        <f>IF(D2="","",D2&amp;":"&amp;E2&amp;IF(EXACT(E2,UPPER(E2)),"","|lc"))</f>
        <v/>
      </c>
      <c r="X2" s="12">
        <f>IF(F2="","",F2&amp;":"&amp;G2&amp;IF(EXACT(G2,UPPER(G2)),"","|lc"))</f>
        <v/>
      </c>
      <c r="Y2" s="10" t="n"/>
      <c r="Z2" s="10" t="n"/>
    </row>
    <row r="3">
      <c r="A3" s="9" t="inlineStr">
        <is>
          <t>W-SIDEPANEL-002</t>
        </is>
      </c>
      <c r="B3" s="10" t="inlineStr">
        <is>
          <t>SIDEPANEL</t>
        </is>
      </c>
      <c r="C3" s="10" t="inlineStr">
        <is>
          <t>SDC_IN</t>
        </is>
      </c>
      <c r="D3" s="10" t="inlineStr">
        <is>
          <t>SIDEPANEL J1</t>
        </is>
      </c>
      <c r="E3" s="10" t="inlineStr">
        <is>
          <t>K</t>
        </is>
      </c>
      <c r="F3" s="10" t="inlineStr">
        <is>
          <t>TSMS</t>
        </is>
      </c>
      <c r="G3" s="10" t="inlineStr">
        <is>
          <t>1</t>
        </is>
      </c>
      <c r="H3" s="10" t="inlineStr">
        <is>
          <t>VT</t>
        </is>
      </c>
      <c r="I3" s="11" t="n"/>
      <c r="J3" s="12">
        <f>IF(I3="","",IFERROR(INDEX(Lists!$F$3:$F$17,MATCH(I3,Lists!$E$3:$E$17,0)),"?"))</f>
        <v/>
      </c>
      <c r="K3" s="10" t="inlineStr">
        <is>
          <t>N</t>
        </is>
      </c>
      <c r="L3" s="10" t="inlineStr">
        <is>
          <t>24V</t>
        </is>
      </c>
      <c r="M3" s="11" t="n"/>
      <c r="N3" s="12">
        <f>IF(D3="","",IFERROR(INDEX(Connectors!$J$2:$J$1000,MATCH(D3,Connectors!$A$2:$A$1000,0))&amp;"",""))</f>
        <v/>
      </c>
      <c r="O3" s="12">
        <f>IF(F3="","",IFERROR(INDEX(Connectors!$J$2:$J$1000,MATCH(F3,Connectors!$A$2:$A$1000,0))&amp;"",""))</f>
        <v/>
      </c>
      <c r="P3" s="10" t="n"/>
      <c r="Q3" s="10" t="n"/>
      <c r="R3" s="10" t="n">
        <v>458</v>
      </c>
      <c r="S3" s="10" t="inlineStr">
        <is>
          <t>Shutdown Circuit from</t>
        </is>
      </c>
      <c r="T3" s="10" t="inlineStr">
        <is>
          <t>2 pontas</t>
        </is>
      </c>
      <c r="U3" s="9" t="inlineStr">
        <is>
          <t>I-02</t>
        </is>
      </c>
      <c r="V3" s="12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2">
        <f>IF(D3="","",D3&amp;":"&amp;E3&amp;IF(EXACT(E3,UPPER(E3)),"","|lc"))</f>
        <v/>
      </c>
      <c r="X3" s="12">
        <f>IF(F3="","",F3&amp;":"&amp;G3&amp;IF(EXACT(G3,UPPER(G3)),"","|lc"))</f>
        <v/>
      </c>
      <c r="Y3" s="10" t="n"/>
      <c r="Z3" s="10" t="n"/>
    </row>
    <row r="4">
      <c r="A4" s="9" t="inlineStr">
        <is>
          <t>W-SIDEPANEL-003</t>
        </is>
      </c>
      <c r="B4" s="10" t="inlineStr">
        <is>
          <t>SIDEPANEL</t>
        </is>
      </c>
      <c r="C4" s="10" t="inlineStr">
        <is>
          <t>SDC_OUT</t>
        </is>
      </c>
      <c r="D4" s="10" t="inlineStr">
        <is>
          <t>SIDEPANEL J1</t>
        </is>
      </c>
      <c r="E4" s="10" t="inlineStr">
        <is>
          <t>L</t>
        </is>
      </c>
      <c r="F4" s="10" t="inlineStr">
        <is>
          <t>TSMS</t>
        </is>
      </c>
      <c r="G4" s="10" t="inlineStr">
        <is>
          <t>2</t>
        </is>
      </c>
      <c r="H4" s="10" t="inlineStr">
        <is>
          <t>VT</t>
        </is>
      </c>
      <c r="I4" s="11" t="n"/>
      <c r="J4" s="12">
        <f>IF(I4="","",IFERROR(INDEX(Lists!$F$3:$F$17,MATCH(I4,Lists!$E$3:$E$17,0)),"?"))</f>
        <v/>
      </c>
      <c r="K4" s="10" t="inlineStr">
        <is>
          <t>N</t>
        </is>
      </c>
      <c r="L4" s="10" t="inlineStr">
        <is>
          <t>24V</t>
        </is>
      </c>
      <c r="M4" s="11" t="n"/>
      <c r="N4" s="12">
        <f>IF(D4="","",IFERROR(INDEX(Connectors!$J$2:$J$1000,MATCH(D4,Connectors!$A$2:$A$1000,0))&amp;"",""))</f>
        <v/>
      </c>
      <c r="O4" s="12">
        <f>IF(F4="","",IFERROR(INDEX(Connectors!$J$2:$J$1000,MATCH(F4,Connectors!$A$2:$A$1000,0))&amp;"",""))</f>
        <v/>
      </c>
      <c r="P4" s="10" t="n"/>
      <c r="Q4" s="10" t="n"/>
      <c r="R4" s="10" t="n">
        <v>458</v>
      </c>
      <c r="S4" s="10" t="inlineStr">
        <is>
          <t>Shutdown Circuit to out off Sidepanel</t>
        </is>
      </c>
      <c r="T4" s="10" t="inlineStr">
        <is>
          <t>1 ponta (folha SidePanel J1)</t>
        </is>
      </c>
      <c r="U4" s="9" t="inlineStr">
        <is>
          <t>I-03</t>
        </is>
      </c>
      <c r="V4" s="12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2">
        <f>IF(D4="","",D4&amp;":"&amp;E4&amp;IF(EXACT(E4,UPPER(E4)),"","|lc"))</f>
        <v/>
      </c>
      <c r="X4" s="12">
        <f>IF(F4="","",F4&amp;":"&amp;G4&amp;IF(EXACT(G4,UPPER(G4)),"","|lc"))</f>
        <v/>
      </c>
      <c r="Y4" s="10" t="n"/>
      <c r="Z4" s="10" t="n"/>
    </row>
    <row r="5">
      <c r="A5" s="9" t="inlineStr">
        <is>
          <t>W-SIDEPANEL-004</t>
        </is>
      </c>
      <c r="B5" s="10" t="inlineStr">
        <is>
          <t>SIDEPANEL</t>
        </is>
      </c>
      <c r="C5" s="10" t="inlineStr">
        <is>
          <t>ASMS_IN</t>
        </is>
      </c>
      <c r="D5" s="10" t="inlineStr">
        <is>
          <t>SIDEPANEL J1</t>
        </is>
      </c>
      <c r="E5" s="10" t="inlineStr">
        <is>
          <t>M</t>
        </is>
      </c>
      <c r="F5" s="10" t="inlineStr">
        <is>
          <t>ASMS</t>
        </is>
      </c>
      <c r="G5" s="10" t="inlineStr">
        <is>
          <t>1</t>
        </is>
      </c>
      <c r="H5" s="10" t="inlineStr">
        <is>
          <t>WH</t>
        </is>
      </c>
      <c r="I5" s="11" t="n"/>
      <c r="J5" s="12">
        <f>IF(I5="","",IFERROR(INDEX(Lists!$F$3:$F$17,MATCH(I5,Lists!$E$3:$E$17,0)),"?"))</f>
        <v/>
      </c>
      <c r="K5" s="10" t="inlineStr">
        <is>
          <t>N</t>
        </is>
      </c>
      <c r="L5" s="10" t="inlineStr">
        <is>
          <t>24V</t>
        </is>
      </c>
      <c r="M5" s="11" t="n"/>
      <c r="N5" s="12">
        <f>IF(D5="","",IFERROR(INDEX(Connectors!$J$2:$J$1000,MATCH(D5,Connectors!$A$2:$A$1000,0))&amp;"",""))</f>
        <v/>
      </c>
      <c r="O5" s="12">
        <f>IF(F5="","",IFERROR(INDEX(Connectors!$J$2:$J$1000,MATCH(F5,Connectors!$A$2:$A$1000,0))&amp;"",""))</f>
        <v/>
      </c>
      <c r="P5" s="10" t="n"/>
      <c r="Q5" s="10" t="n"/>
      <c r="R5" s="10" t="n">
        <v>410</v>
      </c>
      <c r="S5" s="10" t="inlineStr">
        <is>
          <t>ASMS Signal Supply</t>
        </is>
      </c>
      <c r="T5" s="10" t="inlineStr">
        <is>
          <t>1 ponta (folha SidePanel J1)</t>
        </is>
      </c>
      <c r="U5" s="9" t="inlineStr">
        <is>
          <t>I-04</t>
        </is>
      </c>
      <c r="V5" s="12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2">
        <f>IF(D5="","",D5&amp;":"&amp;E5&amp;IF(EXACT(E5,UPPER(E5)),"","|lc"))</f>
        <v/>
      </c>
      <c r="X5" s="12">
        <f>IF(F5="","",F5&amp;":"&amp;G5&amp;IF(EXACT(G5,UPPER(G5)),"","|lc"))</f>
        <v/>
      </c>
      <c r="Y5" s="10" t="n"/>
      <c r="Z5" s="10" t="n"/>
    </row>
    <row r="6">
      <c r="A6" s="9" t="inlineStr">
        <is>
          <t>W-SIDEPANEL-005</t>
        </is>
      </c>
      <c r="B6" s="10" t="inlineStr">
        <is>
          <t>SIDEPANEL</t>
        </is>
      </c>
      <c r="C6" s="10" t="inlineStr">
        <is>
          <t>ASMS_OUT</t>
        </is>
      </c>
      <c r="D6" s="10" t="inlineStr">
        <is>
          <t>SIDEPANEL J1</t>
        </is>
      </c>
      <c r="E6" s="10" t="inlineStr">
        <is>
          <t>N</t>
        </is>
      </c>
      <c r="F6" s="10" t="inlineStr">
        <is>
          <t>ASMS</t>
        </is>
      </c>
      <c r="G6" s="10" t="inlineStr">
        <is>
          <t>2</t>
        </is>
      </c>
      <c r="H6" s="10" t="inlineStr">
        <is>
          <t>WH</t>
        </is>
      </c>
      <c r="I6" s="11" t="n"/>
      <c r="J6" s="12">
        <f>IF(I6="","",IFERROR(INDEX(Lists!$F$3:$F$17,MATCH(I6,Lists!$E$3:$E$17,0)),"?"))</f>
        <v/>
      </c>
      <c r="K6" s="10" t="inlineStr">
        <is>
          <t>N</t>
        </is>
      </c>
      <c r="L6" s="10" t="inlineStr">
        <is>
          <t>24V</t>
        </is>
      </c>
      <c r="M6" s="11" t="n"/>
      <c r="N6" s="12">
        <f>IF(D6="","",IFERROR(INDEX(Connectors!$J$2:$J$1000,MATCH(D6,Connectors!$A$2:$A$1000,0))&amp;"",""))</f>
        <v/>
      </c>
      <c r="O6" s="12">
        <f>IF(F6="","",IFERROR(INDEX(Connectors!$J$2:$J$1000,MATCH(F6,Connectors!$A$2:$A$1000,0))&amp;"",""))</f>
        <v/>
      </c>
      <c r="P6" s="10" t="n"/>
      <c r="Q6" s="10" t="n"/>
      <c r="R6" s="10" t="n">
        <v>410</v>
      </c>
      <c r="S6" s="10" t="inlineStr">
        <is>
          <t>ASMS Signal</t>
        </is>
      </c>
      <c r="T6" s="10" t="inlineStr">
        <is>
          <t>1 ponta (folha SidePanel J1)</t>
        </is>
      </c>
      <c r="U6" s="9" t="inlineStr">
        <is>
          <t>I-05</t>
        </is>
      </c>
      <c r="V6" s="12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2">
        <f>IF(D6="","",D6&amp;":"&amp;E6&amp;IF(EXACT(E6,UPPER(E6)),"","|lc"))</f>
        <v/>
      </c>
      <c r="X6" s="12">
        <f>IF(F6="","",F6&amp;":"&amp;G6&amp;IF(EXACT(G6,UPPER(G6)),"","|lc"))</f>
        <v/>
      </c>
      <c r="Y6" s="10" t="n"/>
      <c r="Z6" s="10" t="n"/>
    </row>
    <row r="7">
      <c r="A7" s="9" t="inlineStr">
        <is>
          <t>W-SIDEPANEL-006</t>
        </is>
      </c>
      <c r="B7" s="10" t="inlineStr">
        <is>
          <t>SIDEPANEL</t>
        </is>
      </c>
      <c r="C7" s="10" t="inlineStr">
        <is>
          <t>RESET_OUT</t>
        </is>
      </c>
      <c r="D7" s="10" t="inlineStr">
        <is>
          <t>SIDEPANEL J1</t>
        </is>
      </c>
      <c r="E7" s="10" t="inlineStr">
        <is>
          <t>P</t>
        </is>
      </c>
      <c r="F7" s="10" t="inlineStr">
        <is>
          <t>RESET</t>
        </is>
      </c>
      <c r="G7" s="10" t="inlineStr">
        <is>
          <t>1</t>
        </is>
      </c>
      <c r="H7" s="10" t="inlineStr">
        <is>
          <t>WH</t>
        </is>
      </c>
      <c r="I7" s="11" t="n"/>
      <c r="J7" s="12">
        <f>IF(I7="","",IFERROR(INDEX(Lists!$F$3:$F$17,MATCH(I7,Lists!$E$3:$E$17,0)),"?"))</f>
        <v/>
      </c>
      <c r="K7" s="10" t="inlineStr">
        <is>
          <t>N</t>
        </is>
      </c>
      <c r="L7" s="10" t="inlineStr">
        <is>
          <t>0V</t>
        </is>
      </c>
      <c r="M7" s="11" t="n"/>
      <c r="N7" s="12">
        <f>IF(D7="","",IFERROR(INDEX(Connectors!$J$2:$J$1000,MATCH(D7,Connectors!$A$2:$A$1000,0))&amp;"",""))</f>
        <v/>
      </c>
      <c r="O7" s="12">
        <f>IF(F7="","",IFERROR(INDEX(Connectors!$J$2:$J$1000,MATCH(F7,Connectors!$A$2:$A$1000,0))&amp;"",""))</f>
        <v/>
      </c>
      <c r="P7" s="10" t="n"/>
      <c r="Q7" s="10" t="n"/>
      <c r="R7" s="10" t="n">
        <v>395</v>
      </c>
      <c r="S7" s="10" t="inlineStr">
        <is>
          <t>Latch Reset Signal</t>
        </is>
      </c>
      <c r="T7" s="10" t="inlineStr">
        <is>
          <t>1 ponta (folha SidePanel J1)</t>
        </is>
      </c>
      <c r="U7" s="9" t="inlineStr">
        <is>
          <t>I-06</t>
        </is>
      </c>
      <c r="V7" s="12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2">
        <f>IF(D7="","",D7&amp;":"&amp;E7&amp;IF(EXACT(E7,UPPER(E7)),"","|lc"))</f>
        <v/>
      </c>
      <c r="X7" s="12">
        <f>IF(F7="","",F7&amp;":"&amp;G7&amp;IF(EXACT(G7,UPPER(G7)),"","|lc"))</f>
        <v/>
      </c>
      <c r="Y7" s="10" t="n"/>
      <c r="Z7" s="10" t="n"/>
    </row>
    <row r="8">
      <c r="A8" s="9" t="inlineStr">
        <is>
          <t>W-SIDEPANEL-007</t>
        </is>
      </c>
      <c r="B8" s="10" t="inlineStr">
        <is>
          <t>SIDEPANEL</t>
        </is>
      </c>
      <c r="C8" s="10" t="inlineStr">
        <is>
          <t>M.S._OUT</t>
        </is>
      </c>
      <c r="D8" s="10" t="inlineStr">
        <is>
          <t>SIDEPANEL J1</t>
        </is>
      </c>
      <c r="E8" s="10" t="inlineStr">
        <is>
          <t>R</t>
        </is>
      </c>
      <c r="F8" s="10" t="inlineStr">
        <is>
          <t>M.S</t>
        </is>
      </c>
      <c r="G8" s="10" t="inlineStr">
        <is>
          <t>2</t>
        </is>
      </c>
      <c r="H8" s="10" t="inlineStr">
        <is>
          <t>WH</t>
        </is>
      </c>
      <c r="I8" s="11" t="n"/>
      <c r="J8" s="12">
        <f>IF(I8="","",IFERROR(INDEX(Lists!$F$3:$F$17,MATCH(I8,Lists!$E$3:$E$17,0)),"?"))</f>
        <v/>
      </c>
      <c r="K8" s="10" t="inlineStr">
        <is>
          <t>N</t>
        </is>
      </c>
      <c r="L8" s="10" t="inlineStr">
        <is>
          <t>24V</t>
        </is>
      </c>
      <c r="M8" s="11" t="n"/>
      <c r="N8" s="12">
        <f>IF(D8="","",IFERROR(INDEX(Connectors!$J$2:$J$1000,MATCH(D8,Connectors!$A$2:$A$1000,0))&amp;"",""))</f>
        <v/>
      </c>
      <c r="O8" s="12">
        <f>IF(F8="","",IFERROR(INDEX(Connectors!$J$2:$J$1000,MATCH(F8,Connectors!$A$2:$A$1000,0))&amp;"",""))</f>
        <v/>
      </c>
      <c r="P8" s="10" t="n"/>
      <c r="Q8" s="10" t="n"/>
      <c r="R8" s="10" t="n">
        <v>303</v>
      </c>
      <c r="S8" s="10" t="inlineStr">
        <is>
          <t>Mission Select Signal</t>
        </is>
      </c>
      <c r="T8" s="10" t="inlineStr">
        <is>
          <t>1 ponta (folha SidePanel J1)</t>
        </is>
      </c>
      <c r="U8" s="9" t="inlineStr">
        <is>
          <t>I-07</t>
        </is>
      </c>
      <c r="V8" s="12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2">
        <f>IF(D8="","",D8&amp;":"&amp;E8&amp;IF(EXACT(E8,UPPER(E8)),"","|lc"))</f>
        <v/>
      </c>
      <c r="X8" s="12">
        <f>IF(F8="","",F8&amp;":"&amp;G8&amp;IF(EXACT(G8,UPPER(G8)),"","|lc"))</f>
        <v/>
      </c>
      <c r="Y8" s="10" t="n"/>
      <c r="Z8" s="10" t="n"/>
    </row>
    <row r="9">
      <c r="A9" s="9" t="inlineStr">
        <is>
          <t>W-SIDEPANEL-008</t>
        </is>
      </c>
      <c r="B9" s="10" t="inlineStr">
        <is>
          <t>SIDEPANEL</t>
        </is>
      </c>
      <c r="C9" s="10" t="inlineStr">
        <is>
          <t>IGN_OUT</t>
        </is>
      </c>
      <c r="D9" s="10" t="inlineStr">
        <is>
          <t>SIDEPANEL J1</t>
        </is>
      </c>
      <c r="E9" s="10" t="inlineStr">
        <is>
          <t>S</t>
        </is>
      </c>
      <c r="F9" s="10" t="inlineStr">
        <is>
          <t>IGN A.</t>
        </is>
      </c>
      <c r="G9" s="10" t="inlineStr">
        <is>
          <t>2</t>
        </is>
      </c>
      <c r="H9" s="10" t="inlineStr">
        <is>
          <t>WH</t>
        </is>
      </c>
      <c r="I9" s="11" t="n"/>
      <c r="J9" s="12">
        <f>IF(I9="","",IFERROR(INDEX(Lists!$F$3:$F$17,MATCH(I9,Lists!$E$3:$E$17,0)),"?"))</f>
        <v/>
      </c>
      <c r="K9" s="10" t="inlineStr">
        <is>
          <t>N</t>
        </is>
      </c>
      <c r="L9" s="10" t="inlineStr">
        <is>
          <t>24V</t>
        </is>
      </c>
      <c r="M9" s="11" t="n"/>
      <c r="N9" s="12">
        <f>IF(D9="","",IFERROR(INDEX(Connectors!$J$2:$J$1000,MATCH(D9,Connectors!$A$2:$A$1000,0))&amp;"",""))</f>
        <v/>
      </c>
      <c r="O9" s="12">
        <f>IF(F9="","",IFERROR(INDEX(Connectors!$J$2:$J$1000,MATCH(F9,Connectors!$A$2:$A$1000,0))&amp;"",""))</f>
        <v/>
      </c>
      <c r="P9" s="10" t="n"/>
      <c r="Q9" s="10" t="n"/>
      <c r="R9" s="10" t="n">
        <v>303</v>
      </c>
      <c r="S9" s="10" t="inlineStr">
        <is>
          <t>Autonomos Ignition Signal</t>
        </is>
      </c>
      <c r="T9" s="10" t="inlineStr">
        <is>
          <t>1 ponta (folha SidePanel J1)</t>
        </is>
      </c>
      <c r="U9" s="9" t="inlineStr">
        <is>
          <t>I-08</t>
        </is>
      </c>
      <c r="V9" s="12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2">
        <f>IF(D9="","",D9&amp;":"&amp;E9&amp;IF(EXACT(E9,UPPER(E9)),"","|lc"))</f>
        <v/>
      </c>
      <c r="X9" s="12">
        <f>IF(F9="","",F9&amp;":"&amp;G9&amp;IF(EXACT(G9,UPPER(G9)),"","|lc"))</f>
        <v/>
      </c>
      <c r="Y9" s="10" t="n"/>
      <c r="Z9" s="10" t="n"/>
    </row>
    <row r="10">
      <c r="A10" s="9" t="inlineStr">
        <is>
          <t>W-SIDEPANEL-009</t>
        </is>
      </c>
      <c r="B10" s="10" t="inlineStr">
        <is>
          <t>SIDEPANEL</t>
        </is>
      </c>
      <c r="C10" s="10" t="inlineStr">
        <is>
          <t>RACE_OUT</t>
        </is>
      </c>
      <c r="D10" s="10" t="inlineStr">
        <is>
          <t>SIDEPANEL J1</t>
        </is>
      </c>
      <c r="E10" s="10" t="inlineStr">
        <is>
          <t>T</t>
        </is>
      </c>
      <c r="F10" s="10" t="inlineStr">
        <is>
          <t>RACE S.</t>
        </is>
      </c>
      <c r="G10" s="10" t="inlineStr">
        <is>
          <t>2</t>
        </is>
      </c>
      <c r="H10" s="10" t="inlineStr">
        <is>
          <t>WH</t>
        </is>
      </c>
      <c r="I10" s="11" t="n"/>
      <c r="J10" s="12">
        <f>IF(I10="","",IFERROR(INDEX(Lists!$F$3:$F$17,MATCH(I10,Lists!$E$3:$E$17,0)),"?"))</f>
        <v/>
      </c>
      <c r="K10" s="10" t="inlineStr">
        <is>
          <t>N</t>
        </is>
      </c>
      <c r="L10" s="10" t="inlineStr">
        <is>
          <t>24V</t>
        </is>
      </c>
      <c r="M10" s="11" t="n"/>
      <c r="N10" s="12">
        <f>IF(D10="","",IFERROR(INDEX(Connectors!$J$2:$J$1000,MATCH(D10,Connectors!$A$2:$A$1000,0))&amp;"",""))</f>
        <v/>
      </c>
      <c r="O10" s="12">
        <f>IF(F10="","",IFERROR(INDEX(Connectors!$J$2:$J$1000,MATCH(F10,Connectors!$A$2:$A$1000,0))&amp;"",""))</f>
        <v/>
      </c>
      <c r="P10" s="10" t="n"/>
      <c r="Q10" s="10" t="n"/>
      <c r="R10" s="10" t="n">
        <v>363</v>
      </c>
      <c r="S10" s="10" t="inlineStr">
        <is>
          <t>Race Key Signal</t>
        </is>
      </c>
      <c r="T10" s="10" t="inlineStr">
        <is>
          <t>1 ponta (folha SidePanel J1)</t>
        </is>
      </c>
      <c r="U10" s="9" t="inlineStr">
        <is>
          <t>I-09</t>
        </is>
      </c>
      <c r="V10" s="12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2">
        <f>IF(D10="","",D10&amp;":"&amp;E10&amp;IF(EXACT(E10,UPPER(E10)),"","|lc"))</f>
        <v/>
      </c>
      <c r="X10" s="12">
        <f>IF(F10="","",F10&amp;":"&amp;G10&amp;IF(EXACT(G10,UPPER(G10)),"","|lc"))</f>
        <v/>
      </c>
      <c r="Y10" s="10" t="n"/>
      <c r="Z10" s="10" t="n"/>
    </row>
    <row r="11">
      <c r="A11" s="9" t="inlineStr">
        <is>
          <t>W-SIDEPANEL-010</t>
        </is>
      </c>
      <c r="B11" s="10" t="inlineStr">
        <is>
          <t>SIDEPANEL</t>
        </is>
      </c>
      <c r="C11" s="10" t="inlineStr">
        <is>
          <t>FSG_DL_S.</t>
        </is>
      </c>
      <c r="D11" s="10" t="inlineStr">
        <is>
          <t>SIDEPANEL J1</t>
        </is>
      </c>
      <c r="E11" s="10" t="inlineStr">
        <is>
          <t>U</t>
        </is>
      </c>
      <c r="F11" s="10" t="inlineStr">
        <is>
          <t>FUSE 2</t>
        </is>
      </c>
      <c r="G11" s="10" t="inlineStr">
        <is>
          <t>1</t>
        </is>
      </c>
      <c r="H11" s="10" t="inlineStr">
        <is>
          <t>RD</t>
        </is>
      </c>
      <c r="I11" s="11" t="n"/>
      <c r="J11" s="12">
        <f>IF(I11="","",IFERROR(INDEX(Lists!$F$3:$F$17,MATCH(I11,Lists!$E$3:$E$17,0)),"?"))</f>
        <v/>
      </c>
      <c r="K11" s="10" t="inlineStr">
        <is>
          <t>N</t>
        </is>
      </c>
      <c r="L11" s="10" t="inlineStr">
        <is>
          <t>24V</t>
        </is>
      </c>
      <c r="M11" s="11" t="n"/>
      <c r="N11" s="12">
        <f>IF(D11="","",IFERROR(INDEX(Connectors!$J$2:$J$1000,MATCH(D11,Connectors!$A$2:$A$1000,0))&amp;"",""))</f>
        <v/>
      </c>
      <c r="O11" s="12">
        <f>IF(F11="","",IFERROR(INDEX(Connectors!$J$2:$J$1000,MATCH(F11,Connectors!$A$2:$A$1000,0))&amp;"",""))</f>
        <v/>
      </c>
      <c r="P11" s="10" t="n"/>
      <c r="Q11" s="10" t="n"/>
      <c r="R11" s="11" t="n"/>
      <c r="S11" s="10" t="inlineStr">
        <is>
          <t>Supply fo FSG Data Logger</t>
        </is>
      </c>
      <c r="T11" s="10" t="inlineStr">
        <is>
          <t>1 ponta (folha SidePanel J1)</t>
        </is>
      </c>
      <c r="U11" s="9" t="inlineStr">
        <is>
          <t>I-10</t>
        </is>
      </c>
      <c r="V11" s="12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2">
        <f>IF(D11="","",D11&amp;":"&amp;E11&amp;IF(EXACT(E11,UPPER(E11)),"","|lc"))</f>
        <v/>
      </c>
      <c r="X11" s="12">
        <f>IF(F11="","",F11&amp;":"&amp;G11&amp;IF(EXACT(G11,UPPER(G11)),"","|lc"))</f>
        <v/>
      </c>
      <c r="Y11" s="10" t="n"/>
      <c r="Z11" s="10" t="n"/>
    </row>
    <row r="12">
      <c r="A12" s="9" t="inlineStr">
        <is>
          <t>W-SIDEPANEL-011</t>
        </is>
      </c>
      <c r="B12" s="10" t="inlineStr">
        <is>
          <t>SIDEPANEL</t>
        </is>
      </c>
      <c r="C12" s="10" t="inlineStr">
        <is>
          <t>BSPD_S.</t>
        </is>
      </c>
      <c r="D12" s="10" t="inlineStr">
        <is>
          <t>SIDEPANEL J1</t>
        </is>
      </c>
      <c r="E12" s="10" t="inlineStr">
        <is>
          <t>V</t>
        </is>
      </c>
      <c r="F12" s="10" t="inlineStr">
        <is>
          <t>FUSE 1</t>
        </is>
      </c>
      <c r="G12" s="10" t="inlineStr">
        <is>
          <t>1</t>
        </is>
      </c>
      <c r="H12" s="10" t="inlineStr">
        <is>
          <t>RD</t>
        </is>
      </c>
      <c r="I12" s="11" t="n"/>
      <c r="J12" s="12">
        <f>IF(I12="","",IFERROR(INDEX(Lists!$F$3:$F$17,MATCH(I12,Lists!$E$3:$E$17,0)),"?"))</f>
        <v/>
      </c>
      <c r="K12" s="10" t="inlineStr">
        <is>
          <t>N</t>
        </is>
      </c>
      <c r="L12" s="10" t="inlineStr">
        <is>
          <t>24V</t>
        </is>
      </c>
      <c r="M12" s="11" t="n"/>
      <c r="N12" s="12">
        <f>IF(D12="","",IFERROR(INDEX(Connectors!$J$2:$J$1000,MATCH(D12,Connectors!$A$2:$A$1000,0))&amp;"",""))</f>
        <v/>
      </c>
      <c r="O12" s="12">
        <f>IF(F12="","",IFERROR(INDEX(Connectors!$J$2:$J$1000,MATCH(F12,Connectors!$A$2:$A$1000,0))&amp;"",""))</f>
        <v/>
      </c>
      <c r="P12" s="10" t="n"/>
      <c r="Q12" s="10" t="n"/>
      <c r="R12" s="11" t="n"/>
      <c r="S12" s="10" t="inlineStr">
        <is>
          <t>Supply fo BSPD</t>
        </is>
      </c>
      <c r="T12" s="10" t="inlineStr">
        <is>
          <t>1 ponta (folha SidePanel J1)</t>
        </is>
      </c>
      <c r="U12" s="9" t="inlineStr">
        <is>
          <t>I-11</t>
        </is>
      </c>
      <c r="V12" s="12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2">
        <f>IF(D12="","",D12&amp;":"&amp;E12&amp;IF(EXACT(E12,UPPER(E12)),"","|lc"))</f>
        <v/>
      </c>
      <c r="X12" s="12">
        <f>IF(F12="","",F12&amp;":"&amp;G12&amp;IF(EXACT(G12,UPPER(G12)),"","|lc"))</f>
        <v/>
      </c>
      <c r="Y12" s="10" t="n"/>
      <c r="Z12" s="10" t="n"/>
    </row>
    <row r="13">
      <c r="A13" s="9" t="inlineStr">
        <is>
          <t>W-SIDEPANEL-012</t>
        </is>
      </c>
      <c r="B13" s="10" t="inlineStr">
        <is>
          <t>SIDEPANEL</t>
        </is>
      </c>
      <c r="C13" s="10" t="inlineStr">
        <is>
          <t>RESET_IN</t>
        </is>
      </c>
      <c r="D13" s="10" t="inlineStr">
        <is>
          <t>RESET</t>
        </is>
      </c>
      <c r="E13" s="10" t="inlineStr">
        <is>
          <t>1</t>
        </is>
      </c>
      <c r="F13" s="10" t="inlineStr">
        <is>
          <t>SIDEPANEL J1</t>
        </is>
      </c>
      <c r="G13" s="10" t="inlineStr">
        <is>
          <t>D</t>
        </is>
      </c>
      <c r="H13" s="11" t="n"/>
      <c r="I13" s="11" t="n"/>
      <c r="J13" s="12">
        <f>IF(I13="","",IFERROR(INDEX(Lists!$F$3:$F$17,MATCH(I13,Lists!$E$3:$E$17,0)),"?"))</f>
        <v/>
      </c>
      <c r="K13" s="10" t="inlineStr">
        <is>
          <t>N</t>
        </is>
      </c>
      <c r="L13" s="10" t="inlineStr">
        <is>
          <t>0V</t>
        </is>
      </c>
      <c r="M13" s="11" t="n"/>
      <c r="N13" s="12">
        <f>IF(D13="","",IFERROR(INDEX(Connectors!$J$2:$J$1000,MATCH(D13,Connectors!$A$2:$A$1000,0))&amp;"",""))</f>
        <v/>
      </c>
      <c r="O13" s="12">
        <f>IF(F13="","",IFERROR(INDEX(Connectors!$J$2:$J$1000,MATCH(F13,Connectors!$A$2:$A$1000,0))&amp;"",""))</f>
        <v/>
      </c>
      <c r="P13" s="10" t="n"/>
      <c r="Q13" s="10" t="n"/>
      <c r="R13" s="10" t="n">
        <v>395</v>
      </c>
      <c r="S13" s="10" t="inlineStr">
        <is>
          <t>Latch Reset Signal</t>
        </is>
      </c>
      <c r="T13" s="10" t="inlineStr">
        <is>
          <t>1 ponta (folha Buttons &amp; Switch)</t>
        </is>
      </c>
      <c r="U13" s="9" t="inlineStr">
        <is>
          <t>I-06, I-12</t>
        </is>
      </c>
      <c r="V13" s="12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2">
        <f>IF(D13="","",D13&amp;":"&amp;E13&amp;IF(EXACT(E13,UPPER(E13)),"","|lc"))</f>
        <v/>
      </c>
      <c r="X13" s="12">
        <f>IF(F13="","",F13&amp;":"&amp;G13&amp;IF(EXACT(G13,UPPER(G13)),"","|lc"))</f>
        <v/>
      </c>
      <c r="Y13" s="10" t="n"/>
      <c r="Z13" s="10" t="n"/>
    </row>
    <row r="14">
      <c r="A14" s="9" t="inlineStr">
        <is>
          <t>W-SIDEPANEL-013</t>
        </is>
      </c>
      <c r="B14" s="10" t="inlineStr">
        <is>
          <t>SIDEPANEL</t>
        </is>
      </c>
      <c r="C14" s="10" t="inlineStr">
        <is>
          <t>RESET_OUT</t>
        </is>
      </c>
      <c r="D14" s="10" t="inlineStr">
        <is>
          <t>RESET</t>
        </is>
      </c>
      <c r="E14" s="10" t="inlineStr">
        <is>
          <t>2</t>
        </is>
      </c>
      <c r="F14" s="10" t="inlineStr">
        <is>
          <t>GND BJ</t>
        </is>
      </c>
      <c r="G14" s="10" t="inlineStr">
        <is>
          <t>?1</t>
        </is>
      </c>
      <c r="H14" s="11" t="n"/>
      <c r="I14" s="11" t="n"/>
      <c r="J14" s="12">
        <f>IF(I14="","",IFERROR(INDEX(Lists!$F$3:$F$17,MATCH(I14,Lists!$E$3:$E$17,0)),"?"))</f>
        <v/>
      </c>
      <c r="K14" s="10" t="inlineStr">
        <is>
          <t>N</t>
        </is>
      </c>
      <c r="L14" s="10" t="inlineStr">
        <is>
          <t>0V</t>
        </is>
      </c>
      <c r="M14" s="11" t="n"/>
      <c r="N14" s="12">
        <f>IF(D14="","",IFERROR(INDEX(Connectors!$J$2:$J$1000,MATCH(D14,Connectors!$A$2:$A$1000,0))&amp;"",""))</f>
        <v/>
      </c>
      <c r="O14" s="12">
        <f>IF(F14="","",IFERROR(INDEX(Connectors!$J$2:$J$1000,MATCH(F14,Connectors!$A$2:$A$1000,0))&amp;"",""))</f>
        <v/>
      </c>
      <c r="P14" s="10" t="n"/>
      <c r="Q14" s="10" t="n"/>
      <c r="R14" s="10" t="n">
        <v>186</v>
      </c>
      <c r="S14" s="10" t="inlineStr">
        <is>
          <t>Latch Reset Signal Ground</t>
        </is>
      </c>
      <c r="T14" s="10" t="inlineStr">
        <is>
          <t>1 ponta (folha Buttons &amp; Switch)</t>
        </is>
      </c>
      <c r="U14" s="9" t="inlineStr">
        <is>
          <t>I-14</t>
        </is>
      </c>
      <c r="V14" s="12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2">
        <f>IF(D14="","",D14&amp;":"&amp;E14&amp;IF(EXACT(E14,UPPER(E14)),"","|lc"))</f>
        <v/>
      </c>
      <c r="X14" s="12">
        <f>IF(F14="","",F14&amp;":"&amp;G14&amp;IF(EXACT(G14,UPPER(G14)),"","|lc"))</f>
        <v/>
      </c>
      <c r="Y14" s="10" t="n"/>
      <c r="Z14" s="10" t="n"/>
    </row>
    <row r="15">
      <c r="A15" s="10" t="inlineStr">
        <is>
          <t>W-SIDEPANEL-014</t>
        </is>
      </c>
      <c r="B15" s="10" t="inlineStr">
        <is>
          <t>SIDEPANEL</t>
        </is>
      </c>
      <c r="C15" s="10" t="inlineStr">
        <is>
          <t>ASMS-1</t>
        </is>
      </c>
      <c r="D15" s="10" t="inlineStr">
        <is>
          <t>SPL ASMS-1</t>
        </is>
      </c>
      <c r="E15" s="10" t="inlineStr">
        <is>
          <t>S</t>
        </is>
      </c>
      <c r="F15" s="10" t="inlineStr">
        <is>
          <t>M.S</t>
        </is>
      </c>
      <c r="G15" s="10" t="inlineStr">
        <is>
          <t>1</t>
        </is>
      </c>
      <c r="H15" s="11" t="n"/>
      <c r="I15" s="11" t="n"/>
      <c r="J15" s="12">
        <f>IF(I15="","",IFERROR(INDEX(Lists!$F$3:$F$17,MATCH(I15,Lists!$E$3:$E$17,0)),"?"))</f>
        <v/>
      </c>
      <c r="K15" s="10" t="inlineStr">
        <is>
          <t>N</t>
        </is>
      </c>
      <c r="L15" s="10" t="inlineStr">
        <is>
          <t>24V</t>
        </is>
      </c>
      <c r="M15" s="11" t="n"/>
      <c r="N15" s="12">
        <f>IF(D15="","",IFERROR(INDEX(Connectors!$J$2:$J$1000,MATCH(D15,Connectors!$A$2:$A$1000,0))&amp;"",""))</f>
        <v/>
      </c>
      <c r="O15" s="12">
        <f>IF(F15="","",IFERROR(INDEX(Connectors!$J$2:$J$1000,MATCH(F15,Connectors!$A$2:$A$1000,0))&amp;"",""))</f>
        <v/>
      </c>
      <c r="P15" s="10" t="n"/>
      <c r="Q15" s="10" t="n"/>
      <c r="R15" s="11" t="n"/>
      <c r="S15" s="10" t="inlineStr">
        <is>
          <t>Mission Select Signal Supply</t>
        </is>
      </c>
      <c r="T15" s="10" t="inlineStr">
        <is>
          <t>2 pontas</t>
        </is>
      </c>
      <c r="U15" s="10" t="n"/>
      <c r="V15" s="12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2">
        <f>IF(D15="","",D15&amp;":"&amp;E15&amp;IF(EXACT(E15,UPPER(E15)),"","|lc"))</f>
        <v/>
      </c>
      <c r="X15" s="12">
        <f>IF(F15="","",F15&amp;":"&amp;G15&amp;IF(EXACT(G15,UPPER(G15)),"","|lc"))</f>
        <v/>
      </c>
      <c r="Y15" s="10" t="n"/>
      <c r="Z15" s="10" t="n"/>
    </row>
    <row r="16">
      <c r="A16" s="9" t="inlineStr">
        <is>
          <t>W-SIDEPANEL-015</t>
        </is>
      </c>
      <c r="B16" s="10" t="inlineStr">
        <is>
          <t>SIDEPANEL</t>
        </is>
      </c>
      <c r="C16" s="10" t="inlineStr">
        <is>
          <t>M.S_OUT</t>
        </is>
      </c>
      <c r="D16" s="10" t="inlineStr">
        <is>
          <t>M.S</t>
        </is>
      </c>
      <c r="E16" s="10" t="inlineStr">
        <is>
          <t>2</t>
        </is>
      </c>
      <c r="F16" s="10" t="inlineStr">
        <is>
          <t>SIDEPANEL J1</t>
        </is>
      </c>
      <c r="G16" s="10" t="inlineStr">
        <is>
          <t>E</t>
        </is>
      </c>
      <c r="H16" s="11" t="n"/>
      <c r="I16" s="11" t="n"/>
      <c r="J16" s="12">
        <f>IF(I16="","",IFERROR(INDEX(Lists!$F$3:$F$17,MATCH(I16,Lists!$E$3:$E$17,0)),"?"))</f>
        <v/>
      </c>
      <c r="K16" s="10" t="inlineStr">
        <is>
          <t>N</t>
        </is>
      </c>
      <c r="L16" s="10" t="inlineStr">
        <is>
          <t>24V</t>
        </is>
      </c>
      <c r="M16" s="11" t="n"/>
      <c r="N16" s="12">
        <f>IF(D16="","",IFERROR(INDEX(Connectors!$J$2:$J$1000,MATCH(D16,Connectors!$A$2:$A$1000,0))&amp;"",""))</f>
        <v/>
      </c>
      <c r="O16" s="12">
        <f>IF(F16="","",IFERROR(INDEX(Connectors!$J$2:$J$1000,MATCH(F16,Connectors!$A$2:$A$1000,0))&amp;"",""))</f>
        <v/>
      </c>
      <c r="P16" s="10" t="n"/>
      <c r="Q16" s="10" t="n"/>
      <c r="R16" s="10" t="n">
        <v>303</v>
      </c>
      <c r="S16" s="10" t="inlineStr">
        <is>
          <t>Mission Select Signal</t>
        </is>
      </c>
      <c r="T16" s="10" t="inlineStr">
        <is>
          <t>1 ponta (folha Buttons &amp; Switch)</t>
        </is>
      </c>
      <c r="U16" s="9" t="inlineStr">
        <is>
          <t>I-07</t>
        </is>
      </c>
      <c r="V16" s="12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2">
        <f>IF(D16="","",D16&amp;":"&amp;E16&amp;IF(EXACT(E16,UPPER(E16)),"","|lc"))</f>
        <v/>
      </c>
      <c r="X16" s="12">
        <f>IF(F16="","",F16&amp;":"&amp;G16&amp;IF(EXACT(G16,UPPER(G16)),"","|lc"))</f>
        <v/>
      </c>
      <c r="Y16" s="10" t="n"/>
      <c r="Z16" s="10" t="n"/>
    </row>
    <row r="17">
      <c r="A17" s="10" t="inlineStr">
        <is>
          <t>W-SIDEPANEL-016</t>
        </is>
      </c>
      <c r="B17" s="10" t="inlineStr">
        <is>
          <t>SIDEPANEL</t>
        </is>
      </c>
      <c r="C17" s="10" t="inlineStr">
        <is>
          <t>ASMS-1</t>
        </is>
      </c>
      <c r="D17" s="10" t="inlineStr">
        <is>
          <t>SPL ASMS-1</t>
        </is>
      </c>
      <c r="E17" s="10" t="inlineStr">
        <is>
          <t>S</t>
        </is>
      </c>
      <c r="F17" s="10" t="inlineStr">
        <is>
          <t>IGN A.</t>
        </is>
      </c>
      <c r="G17" s="10" t="inlineStr">
        <is>
          <t>1</t>
        </is>
      </c>
      <c r="H17" s="11" t="n"/>
      <c r="I17" s="11" t="n"/>
      <c r="J17" s="12">
        <f>IF(I17="","",IFERROR(INDEX(Lists!$F$3:$F$17,MATCH(I17,Lists!$E$3:$E$17,0)),"?"))</f>
        <v/>
      </c>
      <c r="K17" s="10" t="inlineStr">
        <is>
          <t>N</t>
        </is>
      </c>
      <c r="L17" s="10" t="inlineStr">
        <is>
          <t>24V</t>
        </is>
      </c>
      <c r="M17" s="11" t="n"/>
      <c r="N17" s="12">
        <f>IF(D17="","",IFERROR(INDEX(Connectors!$J$2:$J$1000,MATCH(D17,Connectors!$A$2:$A$1000,0))&amp;"",""))</f>
        <v/>
      </c>
      <c r="O17" s="12">
        <f>IF(F17="","",IFERROR(INDEX(Connectors!$J$2:$J$1000,MATCH(F17,Connectors!$A$2:$A$1000,0))&amp;"",""))</f>
        <v/>
      </c>
      <c r="P17" s="10" t="n"/>
      <c r="Q17" s="10" t="n"/>
      <c r="R17" s="11" t="n"/>
      <c r="S17" s="10" t="inlineStr">
        <is>
          <t>Autonomos Ignition Signal Supply</t>
        </is>
      </c>
      <c r="T17" s="10" t="inlineStr">
        <is>
          <t>2 pontas</t>
        </is>
      </c>
      <c r="U17" s="10" t="n"/>
      <c r="V17" s="12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2">
        <f>IF(D17="","",D17&amp;":"&amp;E17&amp;IF(EXACT(E17,UPPER(E17)),"","|lc"))</f>
        <v/>
      </c>
      <c r="X17" s="12">
        <f>IF(F17="","",F17&amp;":"&amp;G17&amp;IF(EXACT(G17,UPPER(G17)),"","|lc"))</f>
        <v/>
      </c>
      <c r="Y17" s="10" t="n"/>
      <c r="Z17" s="10" t="n"/>
    </row>
    <row r="18">
      <c r="A18" s="9" t="inlineStr">
        <is>
          <t>W-SIDEPANEL-017</t>
        </is>
      </c>
      <c r="B18" s="10" t="inlineStr">
        <is>
          <t>SIDEPANEL</t>
        </is>
      </c>
      <c r="C18" s="10" t="inlineStr">
        <is>
          <t>IGN_OUT</t>
        </is>
      </c>
      <c r="D18" s="10" t="inlineStr">
        <is>
          <t>IGN A.</t>
        </is>
      </c>
      <c r="E18" s="10" t="inlineStr">
        <is>
          <t>2</t>
        </is>
      </c>
      <c r="F18" s="10" t="inlineStr">
        <is>
          <t>SIDEPANEL J1</t>
        </is>
      </c>
      <c r="G18" s="10" t="inlineStr">
        <is>
          <t>F</t>
        </is>
      </c>
      <c r="H18" s="11" t="n"/>
      <c r="I18" s="11" t="n"/>
      <c r="J18" s="12">
        <f>IF(I18="","",IFERROR(INDEX(Lists!$F$3:$F$17,MATCH(I18,Lists!$E$3:$E$17,0)),"?"))</f>
        <v/>
      </c>
      <c r="K18" s="10" t="inlineStr">
        <is>
          <t>N</t>
        </is>
      </c>
      <c r="L18" s="10" t="inlineStr">
        <is>
          <t>24V</t>
        </is>
      </c>
      <c r="M18" s="11" t="n"/>
      <c r="N18" s="12">
        <f>IF(D18="","",IFERROR(INDEX(Connectors!$J$2:$J$1000,MATCH(D18,Connectors!$A$2:$A$1000,0))&amp;"",""))</f>
        <v/>
      </c>
      <c r="O18" s="12">
        <f>IF(F18="","",IFERROR(INDEX(Connectors!$J$2:$J$1000,MATCH(F18,Connectors!$A$2:$A$1000,0))&amp;"",""))</f>
        <v/>
      </c>
      <c r="P18" s="10" t="n"/>
      <c r="Q18" s="10" t="n"/>
      <c r="R18" s="10" t="n">
        <v>303</v>
      </c>
      <c r="S18" s="10" t="inlineStr">
        <is>
          <t>Autonomos Ignition Signal</t>
        </is>
      </c>
      <c r="T18" s="10" t="inlineStr">
        <is>
          <t>1 ponta (folha Buttons &amp; Switch)</t>
        </is>
      </c>
      <c r="U18" s="9" t="inlineStr">
        <is>
          <t>I-08</t>
        </is>
      </c>
      <c r="V18" s="12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2">
        <f>IF(D18="","",D18&amp;":"&amp;E18&amp;IF(EXACT(E18,UPPER(E18)),"","|lc"))</f>
        <v/>
      </c>
      <c r="X18" s="12">
        <f>IF(F18="","",F18&amp;":"&amp;G18&amp;IF(EXACT(G18,UPPER(G18)),"","|lc"))</f>
        <v/>
      </c>
      <c r="Y18" s="10" t="n"/>
      <c r="Z18" s="10" t="n"/>
    </row>
    <row r="19">
      <c r="A19" s="9" t="inlineStr">
        <is>
          <t>W-SIDEPANEL-018</t>
        </is>
      </c>
      <c r="B19" s="10" t="inlineStr">
        <is>
          <t>SIDEPANEL</t>
        </is>
      </c>
      <c r="C19" s="10" t="inlineStr">
        <is>
          <t>RACE_IN</t>
        </is>
      </c>
      <c r="D19" s="10" t="inlineStr">
        <is>
          <t>RACE S.</t>
        </is>
      </c>
      <c r="E19" s="10" t="inlineStr">
        <is>
          <t>1</t>
        </is>
      </c>
      <c r="F19" s="10" t="inlineStr">
        <is>
          <t>ASMS</t>
        </is>
      </c>
      <c r="G19" s="10" t="inlineStr">
        <is>
          <t>1</t>
        </is>
      </c>
      <c r="H19" s="11" t="n"/>
      <c r="I19" s="11" t="n"/>
      <c r="J19" s="12">
        <f>IF(I19="","",IFERROR(INDEX(Lists!$F$3:$F$17,MATCH(I19,Lists!$E$3:$E$17,0)),"?"))</f>
        <v/>
      </c>
      <c r="K19" s="10" t="inlineStr">
        <is>
          <t>N</t>
        </is>
      </c>
      <c r="L19" s="10" t="inlineStr">
        <is>
          <t>24V</t>
        </is>
      </c>
      <c r="M19" s="11" t="n"/>
      <c r="N19" s="12">
        <f>IF(D19="","",IFERROR(INDEX(Connectors!$J$2:$J$1000,MATCH(D19,Connectors!$A$2:$A$1000,0))&amp;"",""))</f>
        <v/>
      </c>
      <c r="O19" s="12">
        <f>IF(F19="","",IFERROR(INDEX(Connectors!$J$2:$J$1000,MATCH(F19,Connectors!$A$2:$A$1000,0))&amp;"",""))</f>
        <v/>
      </c>
      <c r="P19" s="10" t="n"/>
      <c r="Q19" s="10" t="n"/>
      <c r="R19" s="10" t="n">
        <v>373</v>
      </c>
      <c r="S19" s="10" t="inlineStr">
        <is>
          <t>Race Key Signal Supply</t>
        </is>
      </c>
      <c r="T19" s="10" t="inlineStr">
        <is>
          <t>1 ponta (folha Buttons &amp; Switch)</t>
        </is>
      </c>
      <c r="U19" s="9" t="inlineStr">
        <is>
          <t>I-04</t>
        </is>
      </c>
      <c r="V19" s="12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2">
        <f>IF(D19="","",D19&amp;":"&amp;E19&amp;IF(EXACT(E19,UPPER(E19)),"","|lc"))</f>
        <v/>
      </c>
      <c r="X19" s="12">
        <f>IF(F19="","",F19&amp;":"&amp;G19&amp;IF(EXACT(G19,UPPER(G19)),"","|lc"))</f>
        <v/>
      </c>
      <c r="Y19" s="10" t="n"/>
      <c r="Z19" s="10" t="n"/>
    </row>
    <row r="20">
      <c r="A20" s="9" t="inlineStr">
        <is>
          <t>W-SIDEPANEL-019</t>
        </is>
      </c>
      <c r="B20" s="10" t="inlineStr">
        <is>
          <t>SIDEPANEL</t>
        </is>
      </c>
      <c r="C20" s="10" t="inlineStr">
        <is>
          <t>RACE_OUT</t>
        </is>
      </c>
      <c r="D20" s="10" t="inlineStr">
        <is>
          <t>RACE S.</t>
        </is>
      </c>
      <c r="E20" s="10" t="inlineStr">
        <is>
          <t>2</t>
        </is>
      </c>
      <c r="F20" s="10" t="inlineStr">
        <is>
          <t>SIDEPANEL J1</t>
        </is>
      </c>
      <c r="G20" s="10" t="inlineStr">
        <is>
          <t>H</t>
        </is>
      </c>
      <c r="H20" s="11" t="n"/>
      <c r="I20" s="11" t="n"/>
      <c r="J20" s="12">
        <f>IF(I20="","",IFERROR(INDEX(Lists!$F$3:$F$17,MATCH(I20,Lists!$E$3:$E$17,0)),"?"))</f>
        <v/>
      </c>
      <c r="K20" s="10" t="inlineStr">
        <is>
          <t>N</t>
        </is>
      </c>
      <c r="L20" s="10" t="n"/>
      <c r="M20" s="11" t="n"/>
      <c r="N20" s="12">
        <f>IF(D20="","",IFERROR(INDEX(Connectors!$J$2:$J$1000,MATCH(D20,Connectors!$A$2:$A$1000,0))&amp;"",""))</f>
        <v/>
      </c>
      <c r="O20" s="12">
        <f>IF(F20="","",IFERROR(INDEX(Connectors!$J$2:$J$1000,MATCH(F20,Connectors!$A$2:$A$1000,0))&amp;"",""))</f>
        <v/>
      </c>
      <c r="P20" s="10" t="n"/>
      <c r="Q20" s="10" t="n"/>
      <c r="R20" s="10" t="n">
        <v>363</v>
      </c>
      <c r="S20" s="10" t="inlineStr">
        <is>
          <t>Race Key Signal</t>
        </is>
      </c>
      <c r="T20" s="10" t="inlineStr">
        <is>
          <t>1 ponta (folha Buttons &amp; Switch)</t>
        </is>
      </c>
      <c r="U20" s="9" t="inlineStr">
        <is>
          <t>I-09</t>
        </is>
      </c>
      <c r="V20" s="12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2">
        <f>IF(D20="","",D20&amp;":"&amp;E20&amp;IF(EXACT(E20,UPPER(E20)),"","|lc"))</f>
        <v/>
      </c>
      <c r="X20" s="12">
        <f>IF(F20="","",F20&amp;":"&amp;G20&amp;IF(EXACT(G20,UPPER(G20)),"","|lc"))</f>
        <v/>
      </c>
      <c r="Y20" s="10" t="n"/>
      <c r="Z20" s="10" t="n"/>
    </row>
    <row r="21">
      <c r="A21" s="9" t="inlineStr">
        <is>
          <t>W-SIDEPANEL-020</t>
        </is>
      </c>
      <c r="B21" s="10" t="inlineStr">
        <is>
          <t>SIDEPANEL</t>
        </is>
      </c>
      <c r="C21" s="10" t="inlineStr">
        <is>
          <t>LVMS-1</t>
        </is>
      </c>
      <c r="D21" s="10" t="inlineStr">
        <is>
          <t>LVMS</t>
        </is>
      </c>
      <c r="E21" s="10" t="inlineStr">
        <is>
          <t>1</t>
        </is>
      </c>
      <c r="F21" s="10" t="inlineStr">
        <is>
          <t>SPL LVMS-1</t>
        </is>
      </c>
      <c r="G21" s="10" t="inlineStr">
        <is>
          <t>S</t>
        </is>
      </c>
      <c r="H21" s="10" t="inlineStr">
        <is>
          <t>RD</t>
        </is>
      </c>
      <c r="I21" s="11" t="n"/>
      <c r="J21" s="12">
        <f>IF(I21="","",IFERROR(INDEX(Lists!$F$3:$F$17,MATCH(I21,Lists!$E$3:$E$17,0)),"?"))</f>
        <v/>
      </c>
      <c r="K21" s="10" t="inlineStr">
        <is>
          <t>N</t>
        </is>
      </c>
      <c r="L21" s="10" t="inlineStr">
        <is>
          <t>24V</t>
        </is>
      </c>
      <c r="M21" s="11" t="n"/>
      <c r="N21" s="12">
        <f>IF(D21="","",IFERROR(INDEX(Connectors!$J$2:$J$1000,MATCH(D21,Connectors!$A$2:$A$1000,0))&amp;"",""))</f>
        <v/>
      </c>
      <c r="O21" s="12">
        <f>IF(F21="","",IFERROR(INDEX(Connectors!$J$2:$J$1000,MATCH(F21,Connectors!$A$2:$A$1000,0))&amp;"",""))</f>
        <v/>
      </c>
      <c r="P21" s="10" t="n"/>
      <c r="Q21" s="10" t="n"/>
      <c r="R21" s="11" t="n"/>
      <c r="S21" s="10" t="inlineStr">
        <is>
          <t>LV battery Supply</t>
        </is>
      </c>
      <c r="T21" s="10" t="inlineStr">
        <is>
          <t>1 ponta (folha Master Switch)</t>
        </is>
      </c>
      <c r="U21" s="9" t="inlineStr">
        <is>
          <t>I-14</t>
        </is>
      </c>
      <c r="V21" s="12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2">
        <f>IF(D21="","",D21&amp;":"&amp;E21&amp;IF(EXACT(E21,UPPER(E21)),"","|lc"))</f>
        <v/>
      </c>
      <c r="X21" s="12">
        <f>IF(F21="","",F21&amp;":"&amp;G21&amp;IF(EXACT(G21,UPPER(G21)),"","|lc"))</f>
        <v/>
      </c>
      <c r="Y21" s="10" t="n"/>
      <c r="Z21" s="10" t="n"/>
    </row>
    <row r="22">
      <c r="A22" s="10" t="inlineStr">
        <is>
          <t>W-SIDEPANEL-021</t>
        </is>
      </c>
      <c r="B22" s="10" t="inlineStr">
        <is>
          <t>SIDEPANEL</t>
        </is>
      </c>
      <c r="C22" s="10" t="inlineStr">
        <is>
          <t>LVMS-1</t>
        </is>
      </c>
      <c r="D22" s="10" t="inlineStr">
        <is>
          <t>SPL LVMS-1</t>
        </is>
      </c>
      <c r="E22" s="10" t="inlineStr">
        <is>
          <t>S</t>
        </is>
      </c>
      <c r="F22" s="10" t="inlineStr">
        <is>
          <t>SIDEPANEL J2</t>
        </is>
      </c>
      <c r="G22" s="10" t="inlineStr">
        <is>
          <t>?1</t>
        </is>
      </c>
      <c r="H22" s="10" t="inlineStr">
        <is>
          <t>RD</t>
        </is>
      </c>
      <c r="I22" s="11" t="n"/>
      <c r="J22" s="12">
        <f>IF(I22="","",IFERROR(INDEX(Lists!$F$3:$F$17,MATCH(I22,Lists!$E$3:$E$17,0)),"?"))</f>
        <v/>
      </c>
      <c r="K22" s="10" t="inlineStr">
        <is>
          <t>N</t>
        </is>
      </c>
      <c r="L22" s="10" t="inlineStr">
        <is>
          <t>24V</t>
        </is>
      </c>
      <c r="M22" s="11" t="n"/>
      <c r="N22" s="12">
        <f>IF(D22="","",IFERROR(INDEX(Connectors!$J$2:$J$1000,MATCH(D22,Connectors!$A$2:$A$1000,0))&amp;"",""))</f>
        <v/>
      </c>
      <c r="O22" s="12">
        <f>IF(F22="","",IFERROR(INDEX(Connectors!$J$2:$J$1000,MATCH(F22,Connectors!$A$2:$A$1000,0))&amp;"",""))</f>
        <v/>
      </c>
      <c r="P22" s="10" t="n"/>
      <c r="Q22" s="10" t="n"/>
      <c r="R22" s="11" t="n"/>
      <c r="S22" s="10" t="inlineStr">
        <is>
          <t>LV battery Supply</t>
        </is>
      </c>
      <c r="T22" s="10" t="inlineStr">
        <is>
          <t>1 ponta (folha Master Switch)</t>
        </is>
      </c>
      <c r="U22" s="10" t="n"/>
      <c r="V22" s="12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2">
        <f>IF(D22="","",D22&amp;":"&amp;E22&amp;IF(EXACT(E22,UPPER(E22)),"","|lc"))</f>
        <v/>
      </c>
      <c r="X22" s="12">
        <f>IF(F22="","",F22&amp;":"&amp;G22&amp;IF(EXACT(G22,UPPER(G22)),"","|lc"))</f>
        <v/>
      </c>
      <c r="Y22" s="10" t="n"/>
      <c r="Z22" s="10" t="n"/>
    </row>
    <row r="23">
      <c r="A23" s="10" t="inlineStr">
        <is>
          <t>W-SIDEPANEL-022</t>
        </is>
      </c>
      <c r="B23" s="10" t="inlineStr">
        <is>
          <t>SIDEPANEL</t>
        </is>
      </c>
      <c r="C23" s="10" t="inlineStr">
        <is>
          <t>LVMS-1</t>
        </is>
      </c>
      <c r="D23" s="10" t="inlineStr">
        <is>
          <t>SPL LVMS-1</t>
        </is>
      </c>
      <c r="E23" s="10" t="inlineStr">
        <is>
          <t>S</t>
        </is>
      </c>
      <c r="F23" s="10" t="inlineStr">
        <is>
          <t>+24V BJ</t>
        </is>
      </c>
      <c r="G23" s="10" t="inlineStr">
        <is>
          <t>1</t>
        </is>
      </c>
      <c r="H23" s="10" t="inlineStr">
        <is>
          <t>RD</t>
        </is>
      </c>
      <c r="I23" s="11" t="n"/>
      <c r="J23" s="12">
        <f>IF(I23="","",IFERROR(INDEX(Lists!$F$3:$F$17,MATCH(I23,Lists!$E$3:$E$17,0)),"?"))</f>
        <v/>
      </c>
      <c r="K23" s="10" t="inlineStr">
        <is>
          <t>N</t>
        </is>
      </c>
      <c r="L23" s="10" t="inlineStr">
        <is>
          <t>24V</t>
        </is>
      </c>
      <c r="M23" s="11" t="n"/>
      <c r="N23" s="12">
        <f>IF(D23="","",IFERROR(INDEX(Connectors!$J$2:$J$1000,MATCH(D23,Connectors!$A$2:$A$1000,0))&amp;"",""))</f>
        <v/>
      </c>
      <c r="O23" s="12">
        <f>IF(F23="","",IFERROR(INDEX(Connectors!$J$2:$J$1000,MATCH(F23,Connectors!$A$2:$A$1000,0))&amp;"",""))</f>
        <v/>
      </c>
      <c r="P23" s="10" t="n"/>
      <c r="Q23" s="10" t="n"/>
      <c r="R23" s="11" t="n"/>
      <c r="S23" s="10" t="inlineStr">
        <is>
          <t>External Power Supply</t>
        </is>
      </c>
      <c r="T23" s="10" t="inlineStr">
        <is>
          <t>2 pontas</t>
        </is>
      </c>
      <c r="U23" s="10" t="n"/>
      <c r="V23" s="12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2">
        <f>IF(D23="","",D23&amp;":"&amp;E23&amp;IF(EXACT(E23,UPPER(E23)),"","|lc"))</f>
        <v/>
      </c>
      <c r="X23" s="12">
        <f>IF(F23="","",F23&amp;":"&amp;G23&amp;IF(EXACT(G23,UPPER(G23)),"","|lc"))</f>
        <v/>
      </c>
      <c r="Y23" s="10" t="n"/>
      <c r="Z23" s="10" t="n"/>
    </row>
    <row r="24">
      <c r="A24" s="9" t="inlineStr">
        <is>
          <t>W-SIDEPANEL-023</t>
        </is>
      </c>
      <c r="B24" s="10" t="inlineStr">
        <is>
          <t>SIDEPANEL</t>
        </is>
      </c>
      <c r="C24" s="10" t="inlineStr">
        <is>
          <t>LVMS-2</t>
        </is>
      </c>
      <c r="D24" s="10" t="inlineStr">
        <is>
          <t>LVMS</t>
        </is>
      </c>
      <c r="E24" s="10" t="inlineStr">
        <is>
          <t>2</t>
        </is>
      </c>
      <c r="F24" s="10" t="inlineStr">
        <is>
          <t>SPL LVMS-2</t>
        </is>
      </c>
      <c r="G24" s="10" t="inlineStr">
        <is>
          <t>S</t>
        </is>
      </c>
      <c r="H24" s="10" t="inlineStr">
        <is>
          <t>RD</t>
        </is>
      </c>
      <c r="I24" s="11" t="n"/>
      <c r="J24" s="12">
        <f>IF(I24="","",IFERROR(INDEX(Lists!$F$3:$F$17,MATCH(I24,Lists!$E$3:$E$17,0)),"?"))</f>
        <v/>
      </c>
      <c r="K24" s="10" t="inlineStr">
        <is>
          <t>N</t>
        </is>
      </c>
      <c r="L24" s="10" t="inlineStr">
        <is>
          <t>24V</t>
        </is>
      </c>
      <c r="M24" s="11" t="n"/>
      <c r="N24" s="12">
        <f>IF(D24="","",IFERROR(INDEX(Connectors!$J$2:$J$1000,MATCH(D24,Connectors!$A$2:$A$1000,0))&amp;"",""))</f>
        <v/>
      </c>
      <c r="O24" s="12">
        <f>IF(F24="","",IFERROR(INDEX(Connectors!$J$2:$J$1000,MATCH(F24,Connectors!$A$2:$A$1000,0))&amp;"",""))</f>
        <v/>
      </c>
      <c r="P24" s="10" t="n"/>
      <c r="Q24" s="10" t="n"/>
      <c r="R24" s="11" t="n"/>
      <c r="S24" s="10" t="inlineStr">
        <is>
          <t>Supply for PDM</t>
        </is>
      </c>
      <c r="T24" s="10" t="inlineStr">
        <is>
          <t>1 ponta (folha Master Switch)</t>
        </is>
      </c>
      <c r="U24" s="9" t="inlineStr">
        <is>
          <t>I-13, I-14</t>
        </is>
      </c>
      <c r="V24" s="12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2">
        <f>IF(D24="","",D24&amp;":"&amp;E24&amp;IF(EXACT(E24,UPPER(E24)),"","|lc"))</f>
        <v/>
      </c>
      <c r="X24" s="12">
        <f>IF(F24="","",F24&amp;":"&amp;G24&amp;IF(EXACT(G24,UPPER(G24)),"","|lc"))</f>
        <v/>
      </c>
      <c r="Y24" s="10" t="n"/>
      <c r="Z24" s="10" t="n"/>
    </row>
    <row r="25">
      <c r="A25" s="10" t="inlineStr">
        <is>
          <t>W-SIDEPANEL-024</t>
        </is>
      </c>
      <c r="B25" s="10" t="inlineStr">
        <is>
          <t>SIDEPANEL</t>
        </is>
      </c>
      <c r="C25" s="10" t="inlineStr">
        <is>
          <t>LVMS-2</t>
        </is>
      </c>
      <c r="D25" s="10" t="inlineStr">
        <is>
          <t>SPL LVMS-2</t>
        </is>
      </c>
      <c r="E25" s="10" t="inlineStr">
        <is>
          <t>S</t>
        </is>
      </c>
      <c r="F25" s="10" t="inlineStr">
        <is>
          <t>SIDEPANEL J2</t>
        </is>
      </c>
      <c r="G25" s="10" t="inlineStr">
        <is>
          <t>?2</t>
        </is>
      </c>
      <c r="H25" s="10" t="inlineStr">
        <is>
          <t>RD</t>
        </is>
      </c>
      <c r="I25" s="11" t="n"/>
      <c r="J25" s="12">
        <f>IF(I25="","",IFERROR(INDEX(Lists!$F$3:$F$17,MATCH(I25,Lists!$E$3:$E$17,0)),"?"))</f>
        <v/>
      </c>
      <c r="K25" s="10" t="inlineStr">
        <is>
          <t>N</t>
        </is>
      </c>
      <c r="L25" s="10" t="inlineStr">
        <is>
          <t>24V</t>
        </is>
      </c>
      <c r="M25" s="11" t="n"/>
      <c r="N25" s="12">
        <f>IF(D25="","",IFERROR(INDEX(Connectors!$J$2:$J$1000,MATCH(D25,Connectors!$A$2:$A$1000,0))&amp;"",""))</f>
        <v/>
      </c>
      <c r="O25" s="12">
        <f>IF(F25="","",IFERROR(INDEX(Connectors!$J$2:$J$1000,MATCH(F25,Connectors!$A$2:$A$1000,0))&amp;"",""))</f>
        <v/>
      </c>
      <c r="P25" s="10" t="n"/>
      <c r="Q25" s="10" t="n"/>
      <c r="R25" s="11" t="n"/>
      <c r="S25" s="10" t="inlineStr">
        <is>
          <t>Supply for PDM</t>
        </is>
      </c>
      <c r="T25" s="10" t="inlineStr">
        <is>
          <t>1 ponta (folha Master Switch)</t>
        </is>
      </c>
      <c r="U25" s="10" t="n"/>
      <c r="V25" s="12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2">
        <f>IF(D25="","",D25&amp;":"&amp;E25&amp;IF(EXACT(E25,UPPER(E25)),"","|lc"))</f>
        <v/>
      </c>
      <c r="X25" s="12">
        <f>IF(F25="","",F25&amp;":"&amp;G25&amp;IF(EXACT(G25,UPPER(G25)),"","|lc"))</f>
        <v/>
      </c>
      <c r="Y25" s="10" t="n"/>
      <c r="Z25" s="10" t="n"/>
    </row>
    <row r="26">
      <c r="A26" s="10" t="inlineStr">
        <is>
          <t>W-SIDEPANEL-025</t>
        </is>
      </c>
      <c r="B26" s="10" t="inlineStr">
        <is>
          <t>SIDEPANEL</t>
        </is>
      </c>
      <c r="C26" s="10" t="inlineStr">
        <is>
          <t>LVMS-2</t>
        </is>
      </c>
      <c r="D26" s="10" t="inlineStr">
        <is>
          <t>SPL LVMS-2</t>
        </is>
      </c>
      <c r="E26" s="10" t="inlineStr">
        <is>
          <t>S</t>
        </is>
      </c>
      <c r="F26" s="10" t="inlineStr">
        <is>
          <t>LV FUSE 1</t>
        </is>
      </c>
      <c r="G26" s="10" t="inlineStr">
        <is>
          <t>?1</t>
        </is>
      </c>
      <c r="H26" s="10" t="inlineStr">
        <is>
          <t>RD</t>
        </is>
      </c>
      <c r="I26" s="11" t="n"/>
      <c r="J26" s="12">
        <f>IF(I26="","",IFERROR(INDEX(Lists!$F$3:$F$17,MATCH(I26,Lists!$E$3:$E$17,0)),"?"))</f>
        <v/>
      </c>
      <c r="K26" s="10" t="inlineStr">
        <is>
          <t>N</t>
        </is>
      </c>
      <c r="L26" s="10" t="inlineStr">
        <is>
          <t>24V</t>
        </is>
      </c>
      <c r="M26" s="11" t="n"/>
      <c r="N26" s="12">
        <f>IF(D26="","",IFERROR(INDEX(Connectors!$J$2:$J$1000,MATCH(D26,Connectors!$A$2:$A$1000,0))&amp;"",""))</f>
        <v/>
      </c>
      <c r="O26" s="12">
        <f>IF(F26="","",IFERROR(INDEX(Connectors!$J$2:$J$1000,MATCH(F26,Connectors!$A$2:$A$1000,0))&amp;"",""))</f>
        <v/>
      </c>
      <c r="P26" s="10" t="n"/>
      <c r="Q26" s="10" t="n"/>
      <c r="R26" s="11" t="n"/>
      <c r="S26" s="10" t="inlineStr">
        <is>
          <t>Supply for BSPD</t>
        </is>
      </c>
      <c r="T26" s="10" t="inlineStr">
        <is>
          <t>1 ponta (folha Master Switch)</t>
        </is>
      </c>
      <c r="U26" s="10" t="n"/>
      <c r="V26" s="12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2">
        <f>IF(D26="","",D26&amp;":"&amp;E26&amp;IF(EXACT(E26,UPPER(E26)),"","|lc"))</f>
        <v/>
      </c>
      <c r="X26" s="12">
        <f>IF(F26="","",F26&amp;":"&amp;G26&amp;IF(EXACT(G26,UPPER(G26)),"","|lc"))</f>
        <v/>
      </c>
      <c r="Y26" s="10" t="n"/>
      <c r="Z26" s="10" t="n"/>
    </row>
    <row r="27">
      <c r="A27" s="10" t="inlineStr">
        <is>
          <t>W-SIDEPANEL-026</t>
        </is>
      </c>
      <c r="B27" s="10" t="inlineStr">
        <is>
          <t>SIDEPANEL</t>
        </is>
      </c>
      <c r="C27" s="10" t="inlineStr">
        <is>
          <t>LVMS-2</t>
        </is>
      </c>
      <c r="D27" s="10" t="inlineStr">
        <is>
          <t>SPL LVMS-2</t>
        </is>
      </c>
      <c r="E27" s="10" t="inlineStr">
        <is>
          <t>S</t>
        </is>
      </c>
      <c r="F27" s="10" t="inlineStr">
        <is>
          <t>LV FUSE 2</t>
        </is>
      </c>
      <c r="G27" s="10" t="inlineStr">
        <is>
          <t>?1</t>
        </is>
      </c>
      <c r="H27" s="10" t="inlineStr">
        <is>
          <t>RD</t>
        </is>
      </c>
      <c r="I27" s="11" t="n"/>
      <c r="J27" s="12">
        <f>IF(I27="","",IFERROR(INDEX(Lists!$F$3:$F$17,MATCH(I27,Lists!$E$3:$E$17,0)),"?"))</f>
        <v/>
      </c>
      <c r="K27" s="10" t="inlineStr">
        <is>
          <t>N</t>
        </is>
      </c>
      <c r="L27" s="10" t="inlineStr">
        <is>
          <t>24V</t>
        </is>
      </c>
      <c r="M27" s="11" t="n"/>
      <c r="N27" s="12">
        <f>IF(D27="","",IFERROR(INDEX(Connectors!$J$2:$J$1000,MATCH(D27,Connectors!$A$2:$A$1000,0))&amp;"",""))</f>
        <v/>
      </c>
      <c r="O27" s="12">
        <f>IF(F27="","",IFERROR(INDEX(Connectors!$J$2:$J$1000,MATCH(F27,Connectors!$A$2:$A$1000,0))&amp;"",""))</f>
        <v/>
      </c>
      <c r="P27" s="10" t="n"/>
      <c r="Q27" s="10" t="n"/>
      <c r="R27" s="11" t="n"/>
      <c r="S27" s="10" t="inlineStr">
        <is>
          <t>Supply for FSG Data Logger</t>
        </is>
      </c>
      <c r="T27" s="10" t="inlineStr">
        <is>
          <t>1 ponta (folha Master Switch)</t>
        </is>
      </c>
      <c r="U27" s="10" t="n"/>
      <c r="V27" s="12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2">
        <f>IF(D27="","",D27&amp;":"&amp;E27&amp;IF(EXACT(E27,UPPER(E27)),"","|lc"))</f>
        <v/>
      </c>
      <c r="X27" s="12">
        <f>IF(F27="","",F27&amp;":"&amp;G27&amp;IF(EXACT(G27,UPPER(G27)),"","|lc"))</f>
        <v/>
      </c>
      <c r="Y27" s="10" t="n"/>
      <c r="Z27" s="10" t="n"/>
    </row>
    <row r="28">
      <c r="A28" s="9" t="inlineStr">
        <is>
          <t>W-SIDEPANEL-027</t>
        </is>
      </c>
      <c r="B28" s="10" t="inlineStr">
        <is>
          <t>SIDEPANEL</t>
        </is>
      </c>
      <c r="C28" s="10" t="inlineStr">
        <is>
          <t>ASMS-1</t>
        </is>
      </c>
      <c r="D28" s="10" t="inlineStr">
        <is>
          <t>ASMS</t>
        </is>
      </c>
      <c r="E28" s="10" t="inlineStr">
        <is>
          <t>1</t>
        </is>
      </c>
      <c r="F28" s="10" t="inlineStr">
        <is>
          <t>SPL ASMS-1</t>
        </is>
      </c>
      <c r="G28" s="10" t="inlineStr">
        <is>
          <t>S</t>
        </is>
      </c>
      <c r="H28" s="11" t="n"/>
      <c r="I28" s="11" t="n"/>
      <c r="J28" s="12">
        <f>IF(I28="","",IFERROR(INDEX(Lists!$F$3:$F$17,MATCH(I28,Lists!$E$3:$E$17,0)),"?"))</f>
        <v/>
      </c>
      <c r="K28" s="10" t="inlineStr">
        <is>
          <t>N</t>
        </is>
      </c>
      <c r="L28" s="10" t="inlineStr">
        <is>
          <t>24V</t>
        </is>
      </c>
      <c r="M28" s="11" t="n"/>
      <c r="N28" s="12">
        <f>IF(D28="","",IFERROR(INDEX(Connectors!$J$2:$J$1000,MATCH(D28,Connectors!$A$2:$A$1000,0))&amp;"",""))</f>
        <v/>
      </c>
      <c r="O28" s="12">
        <f>IF(F28="","",IFERROR(INDEX(Connectors!$J$2:$J$1000,MATCH(F28,Connectors!$A$2:$A$1000,0))&amp;"",""))</f>
        <v/>
      </c>
      <c r="P28" s="10" t="n"/>
      <c r="Q28" s="10" t="n"/>
      <c r="R28" s="11" t="n"/>
      <c r="S28" s="10" t="inlineStr">
        <is>
          <t>ASMS Signal Supply</t>
        </is>
      </c>
      <c r="T28" s="10" t="inlineStr">
        <is>
          <t>1 ponta (folha Master Switch)</t>
        </is>
      </c>
      <c r="U28" s="9" t="inlineStr">
        <is>
          <t>I-04</t>
        </is>
      </c>
      <c r="V28" s="12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2">
        <f>IF(D28="","",D28&amp;":"&amp;E28&amp;IF(EXACT(E28,UPPER(E28)),"","|lc"))</f>
        <v/>
      </c>
      <c r="X28" s="12">
        <f>IF(F28="","",F28&amp;":"&amp;G28&amp;IF(EXACT(G28,UPPER(G28)),"","|lc"))</f>
        <v/>
      </c>
      <c r="Y28" s="10" t="n"/>
      <c r="Z28" s="10" t="n"/>
    </row>
    <row r="29">
      <c r="A29" s="10" t="inlineStr">
        <is>
          <t>W-SIDEPANEL-028</t>
        </is>
      </c>
      <c r="B29" s="10" t="inlineStr">
        <is>
          <t>SIDEPANEL</t>
        </is>
      </c>
      <c r="C29" s="10" t="inlineStr">
        <is>
          <t>ASMS-1</t>
        </is>
      </c>
      <c r="D29" s="10" t="inlineStr">
        <is>
          <t>SPL ASMS-1</t>
        </is>
      </c>
      <c r="E29" s="10" t="inlineStr">
        <is>
          <t>S</t>
        </is>
      </c>
      <c r="F29" s="10" t="inlineStr">
        <is>
          <t>SIDEPANEL J1</t>
        </is>
      </c>
      <c r="G29" s="10" t="inlineStr">
        <is>
          <t>C</t>
        </is>
      </c>
      <c r="H29" s="11" t="n"/>
      <c r="I29" s="11" t="n"/>
      <c r="J29" s="12">
        <f>IF(I29="","",IFERROR(INDEX(Lists!$F$3:$F$17,MATCH(I29,Lists!$E$3:$E$17,0)),"?"))</f>
        <v/>
      </c>
      <c r="K29" s="10" t="inlineStr">
        <is>
          <t>N</t>
        </is>
      </c>
      <c r="L29" s="10" t="inlineStr">
        <is>
          <t>24V</t>
        </is>
      </c>
      <c r="M29" s="11" t="n"/>
      <c r="N29" s="12">
        <f>IF(D29="","",IFERROR(INDEX(Connectors!$J$2:$J$1000,MATCH(D29,Connectors!$A$2:$A$1000,0))&amp;"",""))</f>
        <v/>
      </c>
      <c r="O29" s="12">
        <f>IF(F29="","",IFERROR(INDEX(Connectors!$J$2:$J$1000,MATCH(F29,Connectors!$A$2:$A$1000,0))&amp;"",""))</f>
        <v/>
      </c>
      <c r="P29" s="10" t="n"/>
      <c r="Q29" s="10" t="n"/>
      <c r="R29" s="11" t="n"/>
      <c r="S29" s="10" t="inlineStr">
        <is>
          <t>ASMS Signal Supply</t>
        </is>
      </c>
      <c r="T29" s="10" t="inlineStr">
        <is>
          <t>1 ponta (folha Master Switch)</t>
        </is>
      </c>
      <c r="U29" s="10" t="n"/>
      <c r="V29" s="12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2">
        <f>IF(D29="","",D29&amp;":"&amp;E29&amp;IF(EXACT(E29,UPPER(E29)),"","|lc"))</f>
        <v/>
      </c>
      <c r="X29" s="12">
        <f>IF(F29="","",F29&amp;":"&amp;G29&amp;IF(EXACT(G29,UPPER(G29)),"","|lc"))</f>
        <v/>
      </c>
      <c r="Y29" s="10" t="n"/>
      <c r="Z29" s="10" t="n"/>
    </row>
    <row r="30">
      <c r="A30" s="9" t="inlineStr">
        <is>
          <t>W-SIDEPANEL-029</t>
        </is>
      </c>
      <c r="B30" s="10" t="inlineStr">
        <is>
          <t>SIDEPANEL</t>
        </is>
      </c>
      <c r="C30" s="10" t="inlineStr">
        <is>
          <t>ASMS_OUT</t>
        </is>
      </c>
      <c r="D30" s="10" t="inlineStr">
        <is>
          <t>ASMS</t>
        </is>
      </c>
      <c r="E30" s="10" t="inlineStr">
        <is>
          <t>2</t>
        </is>
      </c>
      <c r="F30" s="10" t="inlineStr">
        <is>
          <t>SIDEPANEL J1</t>
        </is>
      </c>
      <c r="G30" s="10" t="inlineStr">
        <is>
          <t>D</t>
        </is>
      </c>
      <c r="H30" s="11" t="n"/>
      <c r="I30" s="11" t="n"/>
      <c r="J30" s="12">
        <f>IF(I30="","",IFERROR(INDEX(Lists!$F$3:$F$17,MATCH(I30,Lists!$E$3:$E$17,0)),"?"))</f>
        <v/>
      </c>
      <c r="K30" s="10" t="inlineStr">
        <is>
          <t>N</t>
        </is>
      </c>
      <c r="L30" s="10" t="inlineStr">
        <is>
          <t>24V</t>
        </is>
      </c>
      <c r="M30" s="11" t="n"/>
      <c r="N30" s="12">
        <f>IF(D30="","",IFERROR(INDEX(Connectors!$J$2:$J$1000,MATCH(D30,Connectors!$A$2:$A$1000,0))&amp;"",""))</f>
        <v/>
      </c>
      <c r="O30" s="12">
        <f>IF(F30="","",IFERROR(INDEX(Connectors!$J$2:$J$1000,MATCH(F30,Connectors!$A$2:$A$1000,0))&amp;"",""))</f>
        <v/>
      </c>
      <c r="P30" s="10" t="n"/>
      <c r="Q30" s="10" t="n"/>
      <c r="R30" s="10" t="n">
        <v>410</v>
      </c>
      <c r="S30" s="10" t="inlineStr">
        <is>
          <t>ASMS Signal</t>
        </is>
      </c>
      <c r="T30" s="10" t="inlineStr">
        <is>
          <t>1 ponta (folha Master Switch)</t>
        </is>
      </c>
      <c r="U30" s="9" t="inlineStr">
        <is>
          <t>I-05, I-12</t>
        </is>
      </c>
      <c r="V30" s="12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2">
        <f>IF(D30="","",D30&amp;":"&amp;E30&amp;IF(EXACT(E30,UPPER(E30)),"","|lc"))</f>
        <v/>
      </c>
      <c r="X30" s="12">
        <f>IF(F30="","",F30&amp;":"&amp;G30&amp;IF(EXACT(G30,UPPER(G30)),"","|lc"))</f>
        <v/>
      </c>
      <c r="Y30" s="10" t="n"/>
      <c r="Z30" s="10" t="n"/>
    </row>
    <row r="31">
      <c r="A31" s="9" t="inlineStr">
        <is>
          <t>W-SIDEPANEL-030</t>
        </is>
      </c>
      <c r="B31" s="10" t="inlineStr">
        <is>
          <t>SIDEPANEL</t>
        </is>
      </c>
      <c r="C31" s="10" t="inlineStr">
        <is>
          <t>SDC_OUT</t>
        </is>
      </c>
      <c r="D31" s="10" t="inlineStr">
        <is>
          <t>TSMS</t>
        </is>
      </c>
      <c r="E31" s="10" t="inlineStr">
        <is>
          <t>2</t>
        </is>
      </c>
      <c r="F31" s="10" t="inlineStr">
        <is>
          <t>SIDEPANEL J1</t>
        </is>
      </c>
      <c r="G31" s="10" t="inlineStr">
        <is>
          <t>B</t>
        </is>
      </c>
      <c r="H31" s="10" t="inlineStr">
        <is>
          <t>VT</t>
        </is>
      </c>
      <c r="I31" s="11" t="n"/>
      <c r="J31" s="12">
        <f>IF(I31="","",IFERROR(INDEX(Lists!$F$3:$F$17,MATCH(I31,Lists!$E$3:$E$17,0)),"?"))</f>
        <v/>
      </c>
      <c r="K31" s="10" t="inlineStr">
        <is>
          <t>N</t>
        </is>
      </c>
      <c r="L31" s="10" t="inlineStr">
        <is>
          <t>24V</t>
        </is>
      </c>
      <c r="M31" s="11" t="n"/>
      <c r="N31" s="12">
        <f>IF(D31="","",IFERROR(INDEX(Connectors!$J$2:$J$1000,MATCH(D31,Connectors!$A$2:$A$1000,0))&amp;"",""))</f>
        <v/>
      </c>
      <c r="O31" s="12">
        <f>IF(F31="","",IFERROR(INDEX(Connectors!$J$2:$J$1000,MATCH(F31,Connectors!$A$2:$A$1000,0))&amp;"",""))</f>
        <v/>
      </c>
      <c r="P31" s="10" t="n"/>
      <c r="Q31" s="10" t="n"/>
      <c r="R31" s="10" t="n">
        <v>458</v>
      </c>
      <c r="S31" s="10" t="inlineStr">
        <is>
          <t>Shutdown Circuit to out off Sidepanel</t>
        </is>
      </c>
      <c r="T31" s="10" t="inlineStr">
        <is>
          <t>1 ponta (folha Master Switch)</t>
        </is>
      </c>
      <c r="U31" s="9" t="inlineStr">
        <is>
          <t>I-03</t>
        </is>
      </c>
      <c r="V31" s="12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2">
        <f>IF(D31="","",D31&amp;":"&amp;E31&amp;IF(EXACT(E31,UPPER(E31)),"","|lc"))</f>
        <v/>
      </c>
      <c r="X31" s="12">
        <f>IF(F31="","",F31&amp;":"&amp;G31&amp;IF(EXACT(G31,UPPER(G31)),"","|lc"))</f>
        <v/>
      </c>
      <c r="Y31" s="10" t="n"/>
      <c r="Z31" s="10" t="n"/>
    </row>
    <row r="32">
      <c r="A32" s="9" t="inlineStr">
        <is>
          <t>W-SIDEPANEL-031</t>
        </is>
      </c>
      <c r="B32" s="10" t="inlineStr">
        <is>
          <t>SIDEPANEL</t>
        </is>
      </c>
      <c r="C32" s="10" t="inlineStr">
        <is>
          <t>GND BJ-1</t>
        </is>
      </c>
      <c r="D32" s="10" t="inlineStr">
        <is>
          <t>GND BJ</t>
        </is>
      </c>
      <c r="E32" s="10" t="inlineStr">
        <is>
          <t>1</t>
        </is>
      </c>
      <c r="F32" s="10" t="inlineStr">
        <is>
          <t>SPL GND BJ-1</t>
        </is>
      </c>
      <c r="G32" s="10" t="inlineStr">
        <is>
          <t>S</t>
        </is>
      </c>
      <c r="H32" s="10" t="inlineStr">
        <is>
          <t>BK</t>
        </is>
      </c>
      <c r="I32" s="11" t="n"/>
      <c r="J32" s="12">
        <f>IF(I32="","",IFERROR(INDEX(Lists!$F$3:$F$17,MATCH(I32,Lists!$E$3:$E$17,0)),"?"))</f>
        <v/>
      </c>
      <c r="K32" s="10" t="inlineStr">
        <is>
          <t>N</t>
        </is>
      </c>
      <c r="L32" s="10" t="inlineStr">
        <is>
          <t>0V</t>
        </is>
      </c>
      <c r="M32" s="11" t="n"/>
      <c r="N32" s="12">
        <f>IF(D32="","",IFERROR(INDEX(Connectors!$J$2:$J$1000,MATCH(D32,Connectors!$A$2:$A$1000,0))&amp;"",""))</f>
        <v/>
      </c>
      <c r="O32" s="12">
        <f>IF(F32="","",IFERROR(INDEX(Connectors!$J$2:$J$1000,MATCH(F32,Connectors!$A$2:$A$1000,0))&amp;"",""))</f>
        <v/>
      </c>
      <c r="P32" s="10" t="n"/>
      <c r="Q32" s="10" t="n"/>
      <c r="R32" s="11" t="n"/>
      <c r="S32" s="10" t="inlineStr">
        <is>
          <t>HV Cable ShieldGround</t>
        </is>
      </c>
      <c r="T32" s="10" t="inlineStr">
        <is>
          <t>1 ponta (folha Buchins &amp; Banana Jacks)</t>
        </is>
      </c>
      <c r="U32" s="9" t="inlineStr">
        <is>
          <t>I-14</t>
        </is>
      </c>
      <c r="V32" s="12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2">
        <f>IF(D32="","",D32&amp;":"&amp;E32&amp;IF(EXACT(E32,UPPER(E32)),"","|lc"))</f>
        <v/>
      </c>
      <c r="X32" s="12">
        <f>IF(F32="","",F32&amp;":"&amp;G32&amp;IF(EXACT(G32,UPPER(G32)),"","|lc"))</f>
        <v/>
      </c>
      <c r="Y32" s="10" t="n"/>
      <c r="Z32" s="10" t="n"/>
    </row>
    <row r="33">
      <c r="A33" s="10" t="inlineStr">
        <is>
          <t>W-SIDEPANEL-032</t>
        </is>
      </c>
      <c r="B33" s="10" t="inlineStr">
        <is>
          <t>SIDEPANEL</t>
        </is>
      </c>
      <c r="C33" s="10" t="inlineStr">
        <is>
          <t>GND BJ-1</t>
        </is>
      </c>
      <c r="D33" s="10" t="inlineStr">
        <is>
          <t>SPL GND BJ-1</t>
        </is>
      </c>
      <c r="E33" s="10" t="inlineStr">
        <is>
          <t>S</t>
        </is>
      </c>
      <c r="F33" s="10" t="inlineStr">
        <is>
          <t>TS CABEL</t>
        </is>
      </c>
      <c r="G33" s="10" t="inlineStr">
        <is>
          <t>?1</t>
        </is>
      </c>
      <c r="H33" s="10" t="inlineStr">
        <is>
          <t>BK</t>
        </is>
      </c>
      <c r="I33" s="11" t="n"/>
      <c r="J33" s="12">
        <f>IF(I33="","",IFERROR(INDEX(Lists!$F$3:$F$17,MATCH(I33,Lists!$E$3:$E$17,0)),"?"))</f>
        <v/>
      </c>
      <c r="K33" s="10" t="inlineStr">
        <is>
          <t>N</t>
        </is>
      </c>
      <c r="L33" s="10" t="inlineStr">
        <is>
          <t>0V</t>
        </is>
      </c>
      <c r="M33" s="11" t="n"/>
      <c r="N33" s="12">
        <f>IF(D33="","",IFERROR(INDEX(Connectors!$J$2:$J$1000,MATCH(D33,Connectors!$A$2:$A$1000,0))&amp;"",""))</f>
        <v/>
      </c>
      <c r="O33" s="12">
        <f>IF(F33="","",IFERROR(INDEX(Connectors!$J$2:$J$1000,MATCH(F33,Connectors!$A$2:$A$1000,0))&amp;"",""))</f>
        <v/>
      </c>
      <c r="P33" s="10" t="n"/>
      <c r="Q33" s="10" t="n"/>
      <c r="R33" s="11" t="n"/>
      <c r="S33" s="10" t="inlineStr">
        <is>
          <t>HV Cable ShieldGround</t>
        </is>
      </c>
      <c r="T33" s="10" t="inlineStr">
        <is>
          <t>1 ponta (folha Buchins &amp; Banana Jacks)</t>
        </is>
      </c>
      <c r="U33" s="10" t="n"/>
      <c r="V33" s="12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2">
        <f>IF(D33="","",D33&amp;":"&amp;E33&amp;IF(EXACT(E33,UPPER(E33)),"","|lc"))</f>
        <v/>
      </c>
      <c r="X33" s="12">
        <f>IF(F33="","",F33&amp;":"&amp;G33&amp;IF(EXACT(G33,UPPER(G33)),"","|lc"))</f>
        <v/>
      </c>
      <c r="Y33" s="10" t="n"/>
      <c r="Z33" s="10" t="n"/>
    </row>
    <row r="34">
      <c r="A34" s="10" t="inlineStr">
        <is>
          <t>W-SIDEPANEL-033</t>
        </is>
      </c>
      <c r="B34" s="10" t="inlineStr">
        <is>
          <t>SIDEPANEL</t>
        </is>
      </c>
      <c r="C34" s="10" t="inlineStr">
        <is>
          <t>GND BJ-1</t>
        </is>
      </c>
      <c r="D34" s="10" t="inlineStr">
        <is>
          <t>SPL GND BJ-1</t>
        </is>
      </c>
      <c r="E34" s="10" t="inlineStr">
        <is>
          <t>S</t>
        </is>
      </c>
      <c r="F34" s="10" t="inlineStr">
        <is>
          <t>BATTERY GND</t>
        </is>
      </c>
      <c r="G34" s="10" t="inlineStr">
        <is>
          <t>GND</t>
        </is>
      </c>
      <c r="H34" s="10" t="inlineStr">
        <is>
          <t>BK</t>
        </is>
      </c>
      <c r="I34" s="11" t="n"/>
      <c r="J34" s="12">
        <f>IF(I34="","",IFERROR(INDEX(Lists!$F$3:$F$17,MATCH(I34,Lists!$E$3:$E$17,0)),"?"))</f>
        <v/>
      </c>
      <c r="K34" s="10" t="inlineStr">
        <is>
          <t>N</t>
        </is>
      </c>
      <c r="L34" s="10" t="inlineStr">
        <is>
          <t>0V</t>
        </is>
      </c>
      <c r="M34" s="11" t="n"/>
      <c r="N34" s="12">
        <f>IF(D34="","",IFERROR(INDEX(Connectors!$J$2:$J$1000,MATCH(D34,Connectors!$A$2:$A$1000,0))&amp;"",""))</f>
        <v/>
      </c>
      <c r="O34" s="12">
        <f>IF(F34="","",IFERROR(INDEX(Connectors!$J$2:$J$1000,MATCH(F34,Connectors!$A$2:$A$1000,0))&amp;"",""))</f>
        <v/>
      </c>
      <c r="P34" s="10" t="n"/>
      <c r="Q34" s="10" t="n"/>
      <c r="R34" s="11" t="n"/>
      <c r="S34" s="10" t="inlineStr">
        <is>
          <t>LV battery Ground</t>
        </is>
      </c>
      <c r="T34" s="10" t="inlineStr">
        <is>
          <t>1 ponta (folha Buchins &amp; Banana Jacks)</t>
        </is>
      </c>
      <c r="U34" s="10" t="n"/>
      <c r="V34" s="12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2">
        <f>IF(D34="","",D34&amp;":"&amp;E34&amp;IF(EXACT(E34,UPPER(E34)),"","|lc"))</f>
        <v/>
      </c>
      <c r="X34" s="12">
        <f>IF(F34="","",F34&amp;":"&amp;G34&amp;IF(EXACT(G34,UPPER(G34)),"","|lc"))</f>
        <v/>
      </c>
      <c r="Y34" s="10" t="n"/>
      <c r="Z34" s="10" t="n"/>
    </row>
    <row r="35">
      <c r="A35" s="9" t="inlineStr">
        <is>
          <t>W-SIDEPANEL-034</t>
        </is>
      </c>
      <c r="B35" s="10" t="inlineStr">
        <is>
          <t>SIDEPANEL</t>
        </is>
      </c>
      <c r="C35" s="10" t="inlineStr">
        <is>
          <t>LVMS_OUT</t>
        </is>
      </c>
      <c r="D35" s="10" t="inlineStr">
        <is>
          <t>LVMS</t>
        </is>
      </c>
      <c r="E35" s="10" t="inlineStr">
        <is>
          <t>2</t>
        </is>
      </c>
      <c r="F35" s="10" t="inlineStr">
        <is>
          <t>FUSE 1</t>
        </is>
      </c>
      <c r="G35" s="10" t="inlineStr">
        <is>
          <t>1</t>
        </is>
      </c>
      <c r="H35" s="10" t="inlineStr">
        <is>
          <t>BK</t>
        </is>
      </c>
      <c r="I35" s="11" t="n"/>
      <c r="J35" s="12">
        <f>IF(I35="","",IFERROR(INDEX(Lists!$F$3:$F$17,MATCH(I35,Lists!$E$3:$E$17,0)),"?"))</f>
        <v/>
      </c>
      <c r="K35" s="10" t="inlineStr">
        <is>
          <t>N</t>
        </is>
      </c>
      <c r="L35" s="10" t="inlineStr">
        <is>
          <t>24V</t>
        </is>
      </c>
      <c r="M35" s="11" t="n"/>
      <c r="N35" s="12">
        <f>IF(D35="","",IFERROR(INDEX(Connectors!$J$2:$J$1000,MATCH(D35,Connectors!$A$2:$A$1000,0))&amp;"",""))</f>
        <v/>
      </c>
      <c r="O35" s="12">
        <f>IF(F35="","",IFERROR(INDEX(Connectors!$J$2:$J$1000,MATCH(F35,Connectors!$A$2:$A$1000,0))&amp;"",""))</f>
        <v/>
      </c>
      <c r="P35" s="10" t="n"/>
      <c r="Q35" s="10" t="n"/>
      <c r="R35" s="11" t="n"/>
      <c r="S35" s="10" t="inlineStr">
        <is>
          <t>Supply for BSPD</t>
        </is>
      </c>
      <c r="T35" s="10" t="inlineStr">
        <is>
          <t>1 ponta (folha Buchins &amp; Banana Jacks)</t>
        </is>
      </c>
      <c r="U35" s="9" t="inlineStr">
        <is>
          <t>I-11, I-13, I-14</t>
        </is>
      </c>
      <c r="V35" s="12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2">
        <f>IF(D35="","",D35&amp;":"&amp;E35&amp;IF(EXACT(E35,UPPER(E35)),"","|lc"))</f>
        <v/>
      </c>
      <c r="X35" s="12">
        <f>IF(F35="","",F35&amp;":"&amp;G35&amp;IF(EXACT(G35,UPPER(G35)),"","|lc"))</f>
        <v/>
      </c>
      <c r="Y35" s="10" t="n"/>
      <c r="Z35" s="10" t="n"/>
    </row>
    <row r="36">
      <c r="A36" s="9" t="inlineStr">
        <is>
          <t>W-SIDEPANEL-035</t>
        </is>
      </c>
      <c r="B36" s="10" t="inlineStr">
        <is>
          <t>SIDEPANEL</t>
        </is>
      </c>
      <c r="C36" s="10" t="inlineStr">
        <is>
          <t>SDC_IN</t>
        </is>
      </c>
      <c r="D36" s="10" t="inlineStr">
        <is>
          <t>FUSE 1</t>
        </is>
      </c>
      <c r="E36" s="10" t="inlineStr">
        <is>
          <t>2</t>
        </is>
      </c>
      <c r="F36" s="10" t="inlineStr">
        <is>
          <t>SIDEPANEL J1</t>
        </is>
      </c>
      <c r="G36" s="10" t="inlineStr">
        <is>
          <t>K</t>
        </is>
      </c>
      <c r="H36" s="10" t="inlineStr">
        <is>
          <t>BK</t>
        </is>
      </c>
      <c r="I36" s="11" t="n"/>
      <c r="J36" s="12">
        <f>IF(I36="","",IFERROR(INDEX(Lists!$F$3:$F$17,MATCH(I36,Lists!$E$3:$E$17,0)),"?"))</f>
        <v/>
      </c>
      <c r="K36" s="10" t="inlineStr">
        <is>
          <t>N</t>
        </is>
      </c>
      <c r="L36" s="10" t="inlineStr">
        <is>
          <t>24V</t>
        </is>
      </c>
      <c r="M36" s="11" t="n"/>
      <c r="N36" s="12">
        <f>IF(D36="","",IFERROR(INDEX(Connectors!$J$2:$J$1000,MATCH(D36,Connectors!$A$2:$A$1000,0))&amp;"",""))</f>
        <v/>
      </c>
      <c r="O36" s="12">
        <f>IF(F36="","",IFERROR(INDEX(Connectors!$J$2:$J$1000,MATCH(F36,Connectors!$A$2:$A$1000,0))&amp;"",""))</f>
        <v/>
      </c>
      <c r="P36" s="10" t="n"/>
      <c r="Q36" s="10" t="n"/>
      <c r="R36" s="11" t="n"/>
      <c r="S36" s="10" t="inlineStr">
        <is>
          <t>Supply for BSPD</t>
        </is>
      </c>
      <c r="T36" s="10" t="inlineStr">
        <is>
          <t>1 ponta (folha Buchins &amp; Banana Jacks)</t>
        </is>
      </c>
      <c r="U36" s="9" t="inlineStr">
        <is>
          <t>I-02</t>
        </is>
      </c>
      <c r="V36" s="12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2">
        <f>IF(D36="","",D36&amp;":"&amp;E36&amp;IF(EXACT(E36,UPPER(E36)),"","|lc"))</f>
        <v/>
      </c>
      <c r="X36" s="12">
        <f>IF(F36="","",F36&amp;":"&amp;G36&amp;IF(EXACT(G36,UPPER(G36)),"","|lc"))</f>
        <v/>
      </c>
      <c r="Y36" s="10" t="n"/>
      <c r="Z36" s="10" t="n"/>
    </row>
    <row r="37">
      <c r="A37" s="9" t="inlineStr">
        <is>
          <t>W-SIDEPANEL-036</t>
        </is>
      </c>
      <c r="B37" s="10" t="inlineStr">
        <is>
          <t>SIDEPANEL</t>
        </is>
      </c>
      <c r="C37" s="10" t="inlineStr">
        <is>
          <t>LVMS_OUT</t>
        </is>
      </c>
      <c r="D37" s="10" t="inlineStr">
        <is>
          <t>LVMS</t>
        </is>
      </c>
      <c r="E37" s="10" t="inlineStr">
        <is>
          <t>2</t>
        </is>
      </c>
      <c r="F37" s="10" t="inlineStr">
        <is>
          <t>FUSE 2</t>
        </is>
      </c>
      <c r="G37" s="10" t="inlineStr">
        <is>
          <t>1</t>
        </is>
      </c>
      <c r="H37" s="10" t="inlineStr">
        <is>
          <t>BK</t>
        </is>
      </c>
      <c r="I37" s="11" t="n"/>
      <c r="J37" s="12">
        <f>IF(I37="","",IFERROR(INDEX(Lists!$F$3:$F$17,MATCH(I37,Lists!$E$3:$E$17,0)),"?"))</f>
        <v/>
      </c>
      <c r="K37" s="10" t="inlineStr">
        <is>
          <t>N</t>
        </is>
      </c>
      <c r="L37" s="10" t="inlineStr">
        <is>
          <t>24V</t>
        </is>
      </c>
      <c r="M37" s="11" t="n"/>
      <c r="N37" s="12">
        <f>IF(D37="","",IFERROR(INDEX(Connectors!$J$2:$J$1000,MATCH(D37,Connectors!$A$2:$A$1000,0))&amp;"",""))</f>
        <v/>
      </c>
      <c r="O37" s="12">
        <f>IF(F37="","",IFERROR(INDEX(Connectors!$J$2:$J$1000,MATCH(F37,Connectors!$A$2:$A$1000,0))&amp;"",""))</f>
        <v/>
      </c>
      <c r="P37" s="10" t="n"/>
      <c r="Q37" s="10" t="n"/>
      <c r="R37" s="11" t="n"/>
      <c r="S37" s="10" t="inlineStr">
        <is>
          <t>Supply for FSG Data Logger</t>
        </is>
      </c>
      <c r="T37" s="10" t="inlineStr">
        <is>
          <t>1 ponta (folha Buchins &amp; Banana Jacks)</t>
        </is>
      </c>
      <c r="U37" s="9" t="inlineStr">
        <is>
          <t>I-10, I-13, I-14</t>
        </is>
      </c>
      <c r="V37" s="12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2">
        <f>IF(D37="","",D37&amp;":"&amp;E37&amp;IF(EXACT(E37,UPPER(E37)),"","|lc"))</f>
        <v/>
      </c>
      <c r="X37" s="12">
        <f>IF(F37="","",F37&amp;":"&amp;G37&amp;IF(EXACT(G37,UPPER(G37)),"","|lc"))</f>
        <v/>
      </c>
      <c r="Y37" s="10" t="n"/>
      <c r="Z37" s="10" t="n"/>
    </row>
    <row r="38">
      <c r="A38" s="9" t="inlineStr">
        <is>
          <t>W-SIDEPANEL-037</t>
        </is>
      </c>
      <c r="B38" s="10" t="inlineStr">
        <is>
          <t>SIDEPANEL</t>
        </is>
      </c>
      <c r="C38" s="10" t="inlineStr">
        <is>
          <t>FUSE_</t>
        </is>
      </c>
      <c r="D38" s="10" t="inlineStr">
        <is>
          <t>FUSE 2</t>
        </is>
      </c>
      <c r="E38" s="10" t="inlineStr">
        <is>
          <t>2</t>
        </is>
      </c>
      <c r="F38" s="10" t="inlineStr">
        <is>
          <t>SIDEPANEL J1</t>
        </is>
      </c>
      <c r="G38" s="10" t="inlineStr">
        <is>
          <t>J</t>
        </is>
      </c>
      <c r="H38" s="10" t="inlineStr">
        <is>
          <t>BK</t>
        </is>
      </c>
      <c r="I38" s="11" t="n"/>
      <c r="J38" s="12">
        <f>IF(I38="","",IFERROR(INDEX(Lists!$F$3:$F$17,MATCH(I38,Lists!$E$3:$E$17,0)),"?"))</f>
        <v/>
      </c>
      <c r="K38" s="10" t="inlineStr">
        <is>
          <t>N</t>
        </is>
      </c>
      <c r="L38" s="10" t="inlineStr">
        <is>
          <t>24V</t>
        </is>
      </c>
      <c r="M38" s="11" t="n"/>
      <c r="N38" s="12">
        <f>IF(D38="","",IFERROR(INDEX(Connectors!$J$2:$J$1000,MATCH(D38,Connectors!$A$2:$A$1000,0))&amp;"",""))</f>
        <v/>
      </c>
      <c r="O38" s="12">
        <f>IF(F38="","",IFERROR(INDEX(Connectors!$J$2:$J$1000,MATCH(F38,Connectors!$A$2:$A$1000,0))&amp;"",""))</f>
        <v/>
      </c>
      <c r="P38" s="10" t="n"/>
      <c r="Q38" s="10" t="n"/>
      <c r="R38" s="11" t="n"/>
      <c r="S38" s="10" t="inlineStr">
        <is>
          <t>Supply for FSG Data Logger</t>
        </is>
      </c>
      <c r="T38" s="10" t="inlineStr">
        <is>
          <t>1 ponta (folha Buchins &amp; Banana Jacks)</t>
        </is>
      </c>
      <c r="U38" s="9" t="inlineStr">
        <is>
          <t>I-01</t>
        </is>
      </c>
      <c r="V38" s="12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2">
        <f>IF(D38="","",D38&amp;":"&amp;E38&amp;IF(EXACT(E38,UPPER(E38)),"","|lc"))</f>
        <v/>
      </c>
      <c r="X38" s="12">
        <f>IF(F38="","",F38&amp;":"&amp;G38&amp;IF(EXACT(G38,UPPER(G38)),"","|lc"))</f>
        <v/>
      </c>
      <c r="Y38" s="10" t="n"/>
      <c r="Z38" s="10" t="n"/>
    </row>
  </sheetData>
  <autoFilter ref="A1:Z38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10" t="inlineStr">
        <is>
          <t>SIDEPANEL J1</t>
        </is>
      </c>
      <c r="B2" s="10" t="inlineStr">
        <is>
          <t>SIDEPANEL</t>
        </is>
      </c>
      <c r="C2" s="10" t="inlineStr">
        <is>
          <t>SIDEPANEL</t>
        </is>
      </c>
      <c r="D2" s="10" t="inlineStr">
        <is>
          <t>CONNECTOR</t>
        </is>
      </c>
      <c r="E2" s="12">
        <f>COUNTIF(Pins!$A$2:$A$1000,A2)</f>
        <v/>
      </c>
      <c r="F2" s="11" t="n"/>
      <c r="G2" s="13" t="inlineStr">
        <is>
          <t>RTS714N19S03</t>
        </is>
      </c>
      <c r="H2" s="10" t="n"/>
      <c r="I2" s="13" t="inlineStr">
        <is>
          <t>Amphenol Sine RTS</t>
        </is>
      </c>
      <c r="J2" s="13" t="inlineStr">
        <is>
          <t>MS20W23F-10</t>
        </is>
      </c>
      <c r="K2" s="10" t="n"/>
      <c r="L2" s="10" t="n"/>
      <c r="M2" s="11" t="n"/>
      <c r="N2" s="11" t="n"/>
      <c r="O2" s="11" t="n"/>
      <c r="P2" s="12">
        <f>IF(COUNTIF(Segments!$B$2:$C$1000,A2)&gt;0,"Y","N")</f>
        <v/>
      </c>
      <c r="Q2" s="12">
        <f>COUNTIF(Wires!$D$2:$D$1000,A2)+COUNTIF(Wires!$F$2:$F$1000,A2)</f>
        <v/>
      </c>
      <c r="R2" s="12">
        <f>IF(A2="","",IF(D2="SPLICE","",IF(P2="N","fora da topologia; ","")&amp;IF(G2="","sem P/N; ","")&amp;IF(AND(G2&lt;&gt;"",COUNTIF(Parts!$A$2:$A$1000,G2)=0),"P/N não está em Parts; ","")&amp;IF(M2="","sem xyz; ","")))</f>
        <v/>
      </c>
      <c r="S2" s="10" t="inlineStr">
        <is>
          <t>Proposto a partir da lista da equipa (Notion · Connectors Harness): conector principal da caixa (lado da caixa, fêmea).</t>
        </is>
      </c>
      <c r="T2" s="13" t="inlineStr">
        <is>
          <t>F</t>
        </is>
      </c>
    </row>
    <row r="3">
      <c r="A3" s="10" t="inlineStr">
        <is>
          <t>RESET</t>
        </is>
      </c>
      <c r="B3" s="10" t="inlineStr">
        <is>
          <t>RESET</t>
        </is>
      </c>
      <c r="C3" s="10" t="inlineStr">
        <is>
          <t>SIDEPANEL</t>
        </is>
      </c>
      <c r="D3" s="10" t="inlineStr">
        <is>
          <t>CONNECTOR</t>
        </is>
      </c>
      <c r="E3" s="12">
        <f>COUNTIF(Pins!$A$2:$A$1000,A3)</f>
        <v/>
      </c>
      <c r="F3" s="11" t="n"/>
      <c r="G3" s="11" t="n"/>
      <c r="H3" s="10" t="n"/>
      <c r="I3" s="10" t="n"/>
      <c r="J3" s="10" t="n"/>
      <c r="K3" s="10" t="n"/>
      <c r="L3" s="10" t="n"/>
      <c r="M3" s="11" t="n"/>
      <c r="N3" s="11" t="n"/>
      <c r="O3" s="11" t="n"/>
      <c r="P3" s="12">
        <f>IF(COUNTIF(Segments!$B$2:$C$1000,A3)&gt;0,"Y","N")</f>
        <v/>
      </c>
      <c r="Q3" s="12">
        <f>COUNTIF(Wires!$D$2:$D$1000,A3)+COUNTIF(Wires!$F$2:$F$1000,A3)</f>
        <v/>
      </c>
      <c r="R3" s="12">
        <f>IF(A3="","",IF(D3="SPLICE","",IF(P3="N","fora da topologia; ","")&amp;IF(G3="","sem P/N; ","")&amp;IF(AND(G3&lt;&gt;"",COUNTIF(Parts!$A$2:$A$1000,G3)=0),"P/N não está em Parts; ","")&amp;IF(M3="","sem xyz; ","")))</f>
        <v/>
      </c>
      <c r="S3" s="10" t="n"/>
      <c r="T3" s="11" t="n"/>
    </row>
    <row r="4">
      <c r="A4" s="10" t="inlineStr">
        <is>
          <t>M.S</t>
        </is>
      </c>
      <c r="B4" s="10" t="inlineStr">
        <is>
          <t>M.S</t>
        </is>
      </c>
      <c r="C4" s="10" t="inlineStr">
        <is>
          <t>SIDEPANEL</t>
        </is>
      </c>
      <c r="D4" s="10" t="inlineStr">
        <is>
          <t>CONNECTOR</t>
        </is>
      </c>
      <c r="E4" s="12">
        <f>COUNTIF(Pins!$A$2:$A$1000,A4)</f>
        <v/>
      </c>
      <c r="F4" s="11" t="n"/>
      <c r="G4" s="11" t="n"/>
      <c r="H4" s="10" t="n"/>
      <c r="I4" s="10" t="n"/>
      <c r="J4" s="10" t="n"/>
      <c r="K4" s="10" t="n"/>
      <c r="L4" s="10" t="n"/>
      <c r="M4" s="11" t="n"/>
      <c r="N4" s="11" t="n"/>
      <c r="O4" s="11" t="n"/>
      <c r="P4" s="12">
        <f>IF(COUNTIF(Segments!$B$2:$C$1000,A4)&gt;0,"Y","N")</f>
        <v/>
      </c>
      <c r="Q4" s="12">
        <f>COUNTIF(Wires!$D$2:$D$1000,A4)+COUNTIF(Wires!$F$2:$F$1000,A4)</f>
        <v/>
      </c>
      <c r="R4" s="12">
        <f>IF(A4="","",IF(D4="SPLICE","",IF(P4="N","fora da topologia; ","")&amp;IF(G4="","sem P/N; ","")&amp;IF(AND(G4&lt;&gt;"",COUNTIF(Parts!$A$2:$A$1000,G4)=0),"P/N não está em Parts; ","")&amp;IF(M4="","sem xyz; ","")))</f>
        <v/>
      </c>
      <c r="S4" s="10" t="n"/>
      <c r="T4" s="11" t="n"/>
    </row>
    <row r="5">
      <c r="A5" s="10" t="inlineStr">
        <is>
          <t>IGN A.</t>
        </is>
      </c>
      <c r="B5" s="10" t="inlineStr">
        <is>
          <t>IGN</t>
        </is>
      </c>
      <c r="C5" s="10" t="inlineStr">
        <is>
          <t>SIDEPANEL</t>
        </is>
      </c>
      <c r="D5" s="10" t="inlineStr">
        <is>
          <t>CONNECTOR</t>
        </is>
      </c>
      <c r="E5" s="12">
        <f>COUNTIF(Pins!$A$2:$A$1000,A5)</f>
        <v/>
      </c>
      <c r="F5" s="11" t="n"/>
      <c r="G5" s="11" t="n"/>
      <c r="H5" s="10" t="n"/>
      <c r="I5" s="10" t="n"/>
      <c r="J5" s="10" t="n"/>
      <c r="K5" s="10" t="n"/>
      <c r="L5" s="10" t="n"/>
      <c r="M5" s="11" t="n"/>
      <c r="N5" s="11" t="n"/>
      <c r="O5" s="11" t="n"/>
      <c r="P5" s="12">
        <f>IF(COUNTIF(Segments!$B$2:$C$1000,A5)&gt;0,"Y","N")</f>
        <v/>
      </c>
      <c r="Q5" s="12">
        <f>COUNTIF(Wires!$D$2:$D$1000,A5)+COUNTIF(Wires!$F$2:$F$1000,A5)</f>
        <v/>
      </c>
      <c r="R5" s="12">
        <f>IF(A5="","",IF(D5="SPLICE","",IF(P5="N","fora da topologia; ","")&amp;IF(G5="","sem P/N; ","")&amp;IF(AND(G5&lt;&gt;"",COUNTIF(Parts!$A$2:$A$1000,G5)=0),"P/N não está em Parts; ","")&amp;IF(M5="","sem xyz; ","")))</f>
        <v/>
      </c>
      <c r="S5" s="10" t="n"/>
      <c r="T5" s="11" t="n"/>
    </row>
    <row r="6">
      <c r="A6" s="10" t="inlineStr">
        <is>
          <t>RACE S.</t>
        </is>
      </c>
      <c r="B6" s="10" t="inlineStr">
        <is>
          <t>RACE</t>
        </is>
      </c>
      <c r="C6" s="10" t="inlineStr">
        <is>
          <t>SIDEPANEL</t>
        </is>
      </c>
      <c r="D6" s="10" t="inlineStr">
        <is>
          <t>CONNECTOR</t>
        </is>
      </c>
      <c r="E6" s="12">
        <f>COUNTIF(Pins!$A$2:$A$1000,A6)</f>
        <v/>
      </c>
      <c r="F6" s="11" t="n"/>
      <c r="G6" s="11" t="n"/>
      <c r="H6" s="10" t="n"/>
      <c r="I6" s="10" t="n"/>
      <c r="J6" s="10" t="n"/>
      <c r="K6" s="10" t="n"/>
      <c r="L6" s="10" t="n"/>
      <c r="M6" s="11" t="n"/>
      <c r="N6" s="11" t="n"/>
      <c r="O6" s="11" t="n"/>
      <c r="P6" s="12">
        <f>IF(COUNTIF(Segments!$B$2:$C$1000,A6)&gt;0,"Y","N")</f>
        <v/>
      </c>
      <c r="Q6" s="12">
        <f>COUNTIF(Wires!$D$2:$D$1000,A6)+COUNTIF(Wires!$F$2:$F$1000,A6)</f>
        <v/>
      </c>
      <c r="R6" s="12">
        <f>IF(A6="","",IF(D6="SPLICE","",IF(P6="N","fora da topologia; ","")&amp;IF(G6="","sem P/N; ","")&amp;IF(AND(G6&lt;&gt;"",COUNTIF(Parts!$A$2:$A$1000,G6)=0),"P/N não está em Parts; ","")&amp;IF(M6="","sem xyz; ","")))</f>
        <v/>
      </c>
      <c r="S6" s="10" t="n"/>
      <c r="T6" s="11" t="n"/>
    </row>
    <row r="7">
      <c r="A7" s="10" t="inlineStr">
        <is>
          <t>LVMS</t>
        </is>
      </c>
      <c r="B7" s="10" t="inlineStr">
        <is>
          <t>LVMS</t>
        </is>
      </c>
      <c r="C7" s="10" t="inlineStr">
        <is>
          <t>SIDEPANEL</t>
        </is>
      </c>
      <c r="D7" s="10" t="inlineStr">
        <is>
          <t>CONNECTOR</t>
        </is>
      </c>
      <c r="E7" s="12">
        <f>COUNTIF(Pins!$A$2:$A$1000,A7)</f>
        <v/>
      </c>
      <c r="F7" s="11" t="n"/>
      <c r="G7" s="11" t="n"/>
      <c r="H7" s="10" t="n"/>
      <c r="I7" s="10" t="n"/>
      <c r="J7" s="10" t="n"/>
      <c r="K7" s="10" t="n"/>
      <c r="L7" s="10" t="n"/>
      <c r="M7" s="11" t="n"/>
      <c r="N7" s="11" t="n"/>
      <c r="O7" s="11" t="n"/>
      <c r="P7" s="12">
        <f>IF(COUNTIF(Segments!$B$2:$C$1000,A7)&gt;0,"Y","N")</f>
        <v/>
      </c>
      <c r="Q7" s="12">
        <f>COUNTIF(Wires!$D$2:$D$1000,A7)+COUNTIF(Wires!$F$2:$F$1000,A7)</f>
        <v/>
      </c>
      <c r="R7" s="12">
        <f>IF(A7="","",IF(D7="SPLICE","",IF(P7="N","fora da topologia; ","")&amp;IF(G7="","sem P/N; ","")&amp;IF(AND(G7&lt;&gt;"",COUNTIF(Parts!$A$2:$A$1000,G7)=0),"P/N não está em Parts; ","")&amp;IF(M7="","sem xyz; ","")))</f>
        <v/>
      </c>
      <c r="S7" s="10" t="n"/>
      <c r="T7" s="11" t="n"/>
    </row>
    <row r="8">
      <c r="A8" s="10" t="inlineStr">
        <is>
          <t>ASMS</t>
        </is>
      </c>
      <c r="B8" s="10" t="inlineStr">
        <is>
          <t>ASMS</t>
        </is>
      </c>
      <c r="C8" s="10" t="inlineStr">
        <is>
          <t>SIDEPANEL</t>
        </is>
      </c>
      <c r="D8" s="10" t="inlineStr">
        <is>
          <t>CONNECTOR</t>
        </is>
      </c>
      <c r="E8" s="12">
        <f>COUNTIF(Pins!$A$2:$A$1000,A8)</f>
        <v/>
      </c>
      <c r="F8" s="11" t="n"/>
      <c r="G8" s="11" t="n"/>
      <c r="H8" s="10" t="n"/>
      <c r="I8" s="10" t="n"/>
      <c r="J8" s="10" t="n"/>
      <c r="K8" s="10" t="n"/>
      <c r="L8" s="10" t="n"/>
      <c r="M8" s="11" t="n"/>
      <c r="N8" s="11" t="n"/>
      <c r="O8" s="11" t="n"/>
      <c r="P8" s="12">
        <f>IF(COUNTIF(Segments!$B$2:$C$1000,A8)&gt;0,"Y","N")</f>
        <v/>
      </c>
      <c r="Q8" s="12">
        <f>COUNTIF(Wires!$D$2:$D$1000,A8)+COUNTIF(Wires!$F$2:$F$1000,A8)</f>
        <v/>
      </c>
      <c r="R8" s="12">
        <f>IF(A8="","",IF(D8="SPLICE","",IF(P8="N","fora da topologia; ","")&amp;IF(G8="","sem P/N; ","")&amp;IF(AND(G8&lt;&gt;"",COUNTIF(Parts!$A$2:$A$1000,G8)=0),"P/N não está em Parts; ","")&amp;IF(M8="","sem xyz; ","")))</f>
        <v/>
      </c>
      <c r="S8" s="10" t="n"/>
      <c r="T8" s="11" t="n"/>
    </row>
    <row r="9">
      <c r="A9" s="10" t="inlineStr">
        <is>
          <t>TSMS</t>
        </is>
      </c>
      <c r="B9" s="10" t="inlineStr">
        <is>
          <t>TSMS</t>
        </is>
      </c>
      <c r="C9" s="10" t="inlineStr">
        <is>
          <t>SIDEPANEL</t>
        </is>
      </c>
      <c r="D9" s="10" t="inlineStr">
        <is>
          <t>CONNECTOR</t>
        </is>
      </c>
      <c r="E9" s="12">
        <f>COUNTIF(Pins!$A$2:$A$1000,A9)</f>
        <v/>
      </c>
      <c r="F9" s="11" t="n"/>
      <c r="G9" s="11" t="n"/>
      <c r="H9" s="10" t="n"/>
      <c r="I9" s="10" t="n"/>
      <c r="J9" s="10" t="n"/>
      <c r="K9" s="10" t="n"/>
      <c r="L9" s="10" t="n"/>
      <c r="M9" s="11" t="n"/>
      <c r="N9" s="11" t="n"/>
      <c r="O9" s="11" t="n"/>
      <c r="P9" s="12">
        <f>IF(COUNTIF(Segments!$B$2:$C$1000,A9)&gt;0,"Y","N")</f>
        <v/>
      </c>
      <c r="Q9" s="12">
        <f>COUNTIF(Wires!$D$2:$D$1000,A9)+COUNTIF(Wires!$F$2:$F$1000,A9)</f>
        <v/>
      </c>
      <c r="R9" s="12">
        <f>IF(A9="","",IF(D9="SPLICE","",IF(P9="N","fora da topologia; ","")&amp;IF(G9="","sem P/N; ","")&amp;IF(AND(G9&lt;&gt;"",COUNTIF(Parts!$A$2:$A$1000,G9)=0),"P/N não está em Parts; ","")&amp;IF(M9="","sem xyz; ","")))</f>
        <v/>
      </c>
      <c r="S9" s="10" t="n"/>
      <c r="T9" s="11" t="n"/>
    </row>
    <row r="10">
      <c r="A10" s="10" t="inlineStr">
        <is>
          <t>TS + BJ</t>
        </is>
      </c>
      <c r="B10" s="10" t="inlineStr">
        <is>
          <t>TS</t>
        </is>
      </c>
      <c r="C10" s="10" t="inlineStr">
        <is>
          <t>SIDEPANEL</t>
        </is>
      </c>
      <c r="D10" s="10" t="inlineStr">
        <is>
          <t>CONNECTOR</t>
        </is>
      </c>
      <c r="E10" s="12">
        <f>COUNTIF(Pins!$A$2:$A$1000,A10)</f>
        <v/>
      </c>
      <c r="F10" s="11" t="n"/>
      <c r="G10" s="11" t="n"/>
      <c r="H10" s="10" t="n"/>
      <c r="I10" s="10" t="n"/>
      <c r="J10" s="10" t="n"/>
      <c r="K10" s="10" t="n"/>
      <c r="L10" s="10" t="n"/>
      <c r="M10" s="11" t="n"/>
      <c r="N10" s="11" t="n"/>
      <c r="O10" s="11" t="n"/>
      <c r="P10" s="12">
        <f>IF(COUNTIF(Segments!$B$2:$C$1000,A10)&gt;0,"Y","N")</f>
        <v/>
      </c>
      <c r="Q10" s="12">
        <f>COUNTIF(Wires!$D$2:$D$1000,A10)+COUNTIF(Wires!$F$2:$F$1000,A10)</f>
        <v/>
      </c>
      <c r="R10" s="12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10" t="n"/>
      <c r="T10" s="11" t="n"/>
    </row>
    <row r="11">
      <c r="A11" s="10" t="inlineStr">
        <is>
          <t>TS - BJ</t>
        </is>
      </c>
      <c r="B11" s="10" t="inlineStr">
        <is>
          <t>TS</t>
        </is>
      </c>
      <c r="C11" s="10" t="inlineStr">
        <is>
          <t>SIDEPANEL</t>
        </is>
      </c>
      <c r="D11" s="10" t="inlineStr">
        <is>
          <t>CONNECTOR</t>
        </is>
      </c>
      <c r="E11" s="12">
        <f>COUNTIF(Pins!$A$2:$A$1000,A11)</f>
        <v/>
      </c>
      <c r="F11" s="11" t="n"/>
      <c r="G11" s="11" t="n"/>
      <c r="H11" s="10" t="n"/>
      <c r="I11" s="10" t="n"/>
      <c r="J11" s="10" t="n"/>
      <c r="K11" s="10" t="n"/>
      <c r="L11" s="10" t="n"/>
      <c r="M11" s="11" t="n"/>
      <c r="N11" s="11" t="n"/>
      <c r="O11" s="11" t="n"/>
      <c r="P11" s="12">
        <f>IF(COUNTIF(Segments!$B$2:$C$1000,A11)&gt;0,"Y","N")</f>
        <v/>
      </c>
      <c r="Q11" s="12">
        <f>COUNTIF(Wires!$D$2:$D$1000,A11)+COUNTIF(Wires!$F$2:$F$1000,A11)</f>
        <v/>
      </c>
      <c r="R11" s="12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10" t="n"/>
      <c r="T11" s="11" t="n"/>
    </row>
    <row r="12">
      <c r="A12" s="10" t="inlineStr">
        <is>
          <t>+24V BJ</t>
        </is>
      </c>
      <c r="B12" s="10" t="inlineStr">
        <is>
          <t>+24V</t>
        </is>
      </c>
      <c r="C12" s="10" t="inlineStr">
        <is>
          <t>SIDEPANEL</t>
        </is>
      </c>
      <c r="D12" s="10" t="inlineStr">
        <is>
          <t>CONNECTOR</t>
        </is>
      </c>
      <c r="E12" s="12">
        <f>COUNTIF(Pins!$A$2:$A$1000,A12)</f>
        <v/>
      </c>
      <c r="F12" s="11" t="n"/>
      <c r="G12" s="11" t="n"/>
      <c r="H12" s="10" t="n"/>
      <c r="I12" s="10" t="n"/>
      <c r="J12" s="10" t="n"/>
      <c r="K12" s="10" t="n"/>
      <c r="L12" s="10" t="n"/>
      <c r="M12" s="11" t="n"/>
      <c r="N12" s="11" t="n"/>
      <c r="O12" s="11" t="n"/>
      <c r="P12" s="12">
        <f>IF(COUNTIF(Segments!$B$2:$C$1000,A12)&gt;0,"Y","N")</f>
        <v/>
      </c>
      <c r="Q12" s="12">
        <f>COUNTIF(Wires!$D$2:$D$1000,A12)+COUNTIF(Wires!$F$2:$F$1000,A12)</f>
        <v/>
      </c>
      <c r="R12" s="12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10" t="n"/>
      <c r="T12" s="11" t="n"/>
    </row>
    <row r="13">
      <c r="A13" s="10" t="inlineStr">
        <is>
          <t>GND BJ</t>
        </is>
      </c>
      <c r="B13" s="10" t="inlineStr">
        <is>
          <t>GND</t>
        </is>
      </c>
      <c r="C13" s="10" t="inlineStr">
        <is>
          <t>SIDEPANEL</t>
        </is>
      </c>
      <c r="D13" s="10" t="inlineStr">
        <is>
          <t>CONNECTOR</t>
        </is>
      </c>
      <c r="E13" s="12">
        <f>COUNTIF(Pins!$A$2:$A$1000,A13)</f>
        <v/>
      </c>
      <c r="F13" s="11" t="n"/>
      <c r="G13" s="11" t="n"/>
      <c r="H13" s="10" t="n"/>
      <c r="I13" s="10" t="n"/>
      <c r="J13" s="10" t="n"/>
      <c r="K13" s="10" t="n"/>
      <c r="L13" s="10" t="n"/>
      <c r="M13" s="11" t="n"/>
      <c r="N13" s="11" t="n"/>
      <c r="O13" s="11" t="n"/>
      <c r="P13" s="12">
        <f>IF(COUNTIF(Segments!$B$2:$C$1000,A13)&gt;0,"Y","N")</f>
        <v/>
      </c>
      <c r="Q13" s="12">
        <f>COUNTIF(Wires!$D$2:$D$1000,A13)+COUNTIF(Wires!$F$2:$F$1000,A13)</f>
        <v/>
      </c>
      <c r="R13" s="12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10" t="n"/>
      <c r="T13" s="11" t="n"/>
    </row>
    <row r="14">
      <c r="A14" s="10" t="inlineStr">
        <is>
          <t>FUSE 1</t>
        </is>
      </c>
      <c r="B14" s="10" t="inlineStr">
        <is>
          <t>FUSE</t>
        </is>
      </c>
      <c r="C14" s="10" t="inlineStr">
        <is>
          <t>SIDEPANEL</t>
        </is>
      </c>
      <c r="D14" s="10" t="inlineStr">
        <is>
          <t>CONNECTOR</t>
        </is>
      </c>
      <c r="E14" s="12">
        <f>COUNTIF(Pins!$A$2:$A$1000,A14)</f>
        <v/>
      </c>
      <c r="F14" s="11" t="n"/>
      <c r="G14" s="11" t="n"/>
      <c r="H14" s="10" t="n"/>
      <c r="I14" s="10" t="n"/>
      <c r="J14" s="10" t="n"/>
      <c r="K14" s="10" t="n"/>
      <c r="L14" s="10" t="n"/>
      <c r="M14" s="11" t="n"/>
      <c r="N14" s="11" t="n"/>
      <c r="O14" s="11" t="n"/>
      <c r="P14" s="12">
        <f>IF(COUNTIF(Segments!$B$2:$C$1000,A14)&gt;0,"Y","N")</f>
        <v/>
      </c>
      <c r="Q14" s="12">
        <f>COUNTIF(Wires!$D$2:$D$1000,A14)+COUNTIF(Wires!$F$2:$F$1000,A14)</f>
        <v/>
      </c>
      <c r="R14" s="12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10" t="n"/>
      <c r="T14" s="11" t="n"/>
    </row>
    <row r="15">
      <c r="A15" s="10" t="inlineStr">
        <is>
          <t>FUSE 2</t>
        </is>
      </c>
      <c r="B15" s="10" t="inlineStr">
        <is>
          <t>FUSE</t>
        </is>
      </c>
      <c r="C15" s="10" t="inlineStr">
        <is>
          <t>SIDEPANEL</t>
        </is>
      </c>
      <c r="D15" s="10" t="inlineStr">
        <is>
          <t>CONNECTOR</t>
        </is>
      </c>
      <c r="E15" s="12">
        <f>COUNTIF(Pins!$A$2:$A$1000,A15)</f>
        <v/>
      </c>
      <c r="F15" s="11" t="n"/>
      <c r="G15" s="11" t="n"/>
      <c r="H15" s="10" t="n"/>
      <c r="I15" s="10" t="n"/>
      <c r="J15" s="10" t="n"/>
      <c r="K15" s="10" t="n"/>
      <c r="L15" s="10" t="n"/>
      <c r="M15" s="11" t="n"/>
      <c r="N15" s="11" t="n"/>
      <c r="O15" s="11" t="n"/>
      <c r="P15" s="12">
        <f>IF(COUNTIF(Segments!$B$2:$C$1000,A15)&gt;0,"Y","N")</f>
        <v/>
      </c>
      <c r="Q15" s="12">
        <f>COUNTIF(Wires!$D$2:$D$1000,A15)+COUNTIF(Wires!$F$2:$F$1000,A15)</f>
        <v/>
      </c>
      <c r="R15" s="12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10" t="n"/>
      <c r="T15" s="11" t="n"/>
    </row>
    <row r="16">
      <c r="A16" s="10" t="inlineStr">
        <is>
          <t>SPL LVMS-1</t>
        </is>
      </c>
      <c r="B16" s="10" t="inlineStr">
        <is>
          <t>SPL</t>
        </is>
      </c>
      <c r="C16" s="10" t="inlineStr">
        <is>
          <t>SIDEPANEL</t>
        </is>
      </c>
      <c r="D16" s="10" t="inlineStr">
        <is>
          <t>SPLICE</t>
        </is>
      </c>
      <c r="E16" s="12">
        <f>COUNTIF(Pins!$A$2:$A$1000,A16)</f>
        <v/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2">
        <f>IF(COUNTIF(Segments!$B$2:$C$1000,A16)&gt;0,"Y","N")</f>
        <v/>
      </c>
      <c r="Q16" s="12">
        <f>COUNTIF(Wires!$D$2:$D$1000,A16)+COUNTIF(Wires!$F$2:$F$1000,A16)</f>
        <v/>
      </c>
      <c r="R16" s="12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10" t="n"/>
      <c r="T16" s="10" t="n"/>
    </row>
    <row r="17">
      <c r="A17" s="10" t="inlineStr">
        <is>
          <t>SPL LVMS-2</t>
        </is>
      </c>
      <c r="B17" s="10" t="inlineStr">
        <is>
          <t>SPL</t>
        </is>
      </c>
      <c r="C17" s="10" t="inlineStr">
        <is>
          <t>SIDEPANEL</t>
        </is>
      </c>
      <c r="D17" s="10" t="inlineStr">
        <is>
          <t>SPLICE</t>
        </is>
      </c>
      <c r="E17" s="12">
        <f>COUNTIF(Pins!$A$2:$A$1000,A17)</f>
        <v/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2">
        <f>IF(COUNTIF(Segments!$B$2:$C$1000,A17)&gt;0,"Y","N")</f>
        <v/>
      </c>
      <c r="Q17" s="12">
        <f>COUNTIF(Wires!$D$2:$D$1000,A17)+COUNTIF(Wires!$F$2:$F$1000,A17)</f>
        <v/>
      </c>
      <c r="R17" s="12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10" t="n"/>
      <c r="T17" s="10" t="n"/>
    </row>
    <row r="18">
      <c r="A18" s="10" t="inlineStr">
        <is>
          <t>SPL ASMS-1</t>
        </is>
      </c>
      <c r="B18" s="10" t="inlineStr">
        <is>
          <t>SPL</t>
        </is>
      </c>
      <c r="C18" s="10" t="inlineStr">
        <is>
          <t>SIDEPANEL</t>
        </is>
      </c>
      <c r="D18" s="10" t="inlineStr">
        <is>
          <t>SPLICE</t>
        </is>
      </c>
      <c r="E18" s="12">
        <f>COUNTIF(Pins!$A$2:$A$1000,A18)</f>
        <v/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2">
        <f>IF(COUNTIF(Segments!$B$2:$C$1000,A18)&gt;0,"Y","N")</f>
        <v/>
      </c>
      <c r="Q18" s="12">
        <f>COUNTIF(Wires!$D$2:$D$1000,A18)+COUNTIF(Wires!$F$2:$F$1000,A18)</f>
        <v/>
      </c>
      <c r="R18" s="12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10" t="n"/>
      <c r="T18" s="10" t="n"/>
    </row>
    <row r="19">
      <c r="A19" s="10" t="inlineStr">
        <is>
          <t>SPL GND BJ-1</t>
        </is>
      </c>
      <c r="B19" s="10" t="inlineStr">
        <is>
          <t>SPL</t>
        </is>
      </c>
      <c r="C19" s="10" t="inlineStr">
        <is>
          <t>SIDEPANEL</t>
        </is>
      </c>
      <c r="D19" s="10" t="inlineStr">
        <is>
          <t>SPLICE</t>
        </is>
      </c>
      <c r="E19" s="12">
        <f>COUNTIF(Pins!$A$2:$A$1000,A19)</f>
        <v/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2">
        <f>IF(COUNTIF(Segments!$B$2:$C$1000,A19)&gt;0,"Y","N")</f>
        <v/>
      </c>
      <c r="Q19" s="12">
        <f>COUNTIF(Wires!$D$2:$D$1000,A19)+COUNTIF(Wires!$F$2:$F$1000,A19)</f>
        <v/>
      </c>
      <c r="R19" s="12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10" t="n"/>
      <c r="T19" s="10" t="n"/>
    </row>
    <row r="20">
      <c r="A20" s="10" t="inlineStr">
        <is>
          <t>SIDEPANEL J2</t>
        </is>
      </c>
      <c r="B20" s="10" t="inlineStr">
        <is>
          <t>SIDEPANEL</t>
        </is>
      </c>
      <c r="C20" s="10" t="inlineStr">
        <is>
          <t>SIDEPANEL</t>
        </is>
      </c>
      <c r="D20" s="10" t="inlineStr">
        <is>
          <t>CONNECTOR</t>
        </is>
      </c>
      <c r="E20" s="12">
        <f>COUNTIF(Pins!$A$2:$A$1000,A20)</f>
        <v/>
      </c>
      <c r="F20" s="11" t="n"/>
      <c r="G20" s="11" t="n"/>
      <c r="H20" s="10" t="n"/>
      <c r="I20" s="10" t="n"/>
      <c r="J20" s="10" t="n"/>
      <c r="K20" s="10" t="n"/>
      <c r="L20" s="10" t="n"/>
      <c r="M20" s="11" t="n"/>
      <c r="N20" s="11" t="n"/>
      <c r="O20" s="11" t="n"/>
      <c r="P20" s="12">
        <f>IF(COUNTIF(Segments!$B$2:$C$1000,A20)&gt;0,"Y","N")</f>
        <v/>
      </c>
      <c r="Q20" s="12">
        <f>COUNTIF(Wires!$D$2:$D$1000,A20)+COUNTIF(Wires!$F$2:$F$1000,A20)</f>
        <v/>
      </c>
      <c r="R20" s="12">
        <f>IF(A20="","",IF(D20="SPLICE","",IF(P20="N","fora da topologia; ","")&amp;IF(G20="","sem P/N; ","")&amp;IF(AND(G20&lt;&gt;"",COUNTIF(Parts!$A$2:$A$1000,G20)=0),"P/N não está em Parts; ","")&amp;IF(M20="","sem xyz; ","")))</f>
        <v/>
      </c>
      <c r="S20" s="10" t="inlineStr">
        <is>
          <t>Sem folha própria — criado a partir dos destinos.</t>
        </is>
      </c>
      <c r="T20" s="11" t="n"/>
    </row>
    <row r="21">
      <c r="A21" s="10" t="inlineStr">
        <is>
          <t>LV FUSE 1</t>
        </is>
      </c>
      <c r="B21" s="10" t="inlineStr">
        <is>
          <t>LV</t>
        </is>
      </c>
      <c r="C21" s="10" t="inlineStr">
        <is>
          <t>SIDEPANEL</t>
        </is>
      </c>
      <c r="D21" s="10" t="inlineStr">
        <is>
          <t>CONNECTOR</t>
        </is>
      </c>
      <c r="E21" s="12">
        <f>COUNTIF(Pins!$A$2:$A$1000,A21)</f>
        <v/>
      </c>
      <c r="F21" s="11" t="n"/>
      <c r="G21" s="11" t="n"/>
      <c r="H21" s="10" t="n"/>
      <c r="I21" s="10" t="n"/>
      <c r="J21" s="10" t="n"/>
      <c r="K21" s="10" t="n"/>
      <c r="L21" s="10" t="n"/>
      <c r="M21" s="11" t="n"/>
      <c r="N21" s="11" t="n"/>
      <c r="O21" s="11" t="n"/>
      <c r="P21" s="12">
        <f>IF(COUNTIF(Segments!$B$2:$C$1000,A21)&gt;0,"Y","N")</f>
        <v/>
      </c>
      <c r="Q21" s="12">
        <f>COUNTIF(Wires!$D$2:$D$1000,A21)+COUNTIF(Wires!$F$2:$F$1000,A21)</f>
        <v/>
      </c>
      <c r="R21" s="12">
        <f>IF(A21="","",IF(D21="SPLICE","",IF(P21="N","fora da topologia; ","")&amp;IF(G21="","sem P/N; ","")&amp;IF(AND(G21&lt;&gt;"",COUNTIF(Parts!$A$2:$A$1000,G21)=0),"P/N não está em Parts; ","")&amp;IF(M21="","sem xyz; ","")))</f>
        <v/>
      </c>
      <c r="S21" s="10" t="inlineStr">
        <is>
          <t>Sem folha própria — criado a partir dos destinos.</t>
        </is>
      </c>
      <c r="T21" s="11" t="n"/>
    </row>
    <row r="22">
      <c r="A22" s="10" t="inlineStr">
        <is>
          <t>LV FUSE 2</t>
        </is>
      </c>
      <c r="B22" s="10" t="inlineStr">
        <is>
          <t>LV</t>
        </is>
      </c>
      <c r="C22" s="10" t="inlineStr">
        <is>
          <t>SIDEPANEL</t>
        </is>
      </c>
      <c r="D22" s="10" t="inlineStr">
        <is>
          <t>CONNECTOR</t>
        </is>
      </c>
      <c r="E22" s="12">
        <f>COUNTIF(Pins!$A$2:$A$1000,A22)</f>
        <v/>
      </c>
      <c r="F22" s="11" t="n"/>
      <c r="G22" s="11" t="n"/>
      <c r="H22" s="10" t="n"/>
      <c r="I22" s="10" t="n"/>
      <c r="J22" s="10" t="n"/>
      <c r="K22" s="10" t="n"/>
      <c r="L22" s="10" t="n"/>
      <c r="M22" s="11" t="n"/>
      <c r="N22" s="11" t="n"/>
      <c r="O22" s="11" t="n"/>
      <c r="P22" s="12">
        <f>IF(COUNTIF(Segments!$B$2:$C$1000,A22)&gt;0,"Y","N")</f>
        <v/>
      </c>
      <c r="Q22" s="12">
        <f>COUNTIF(Wires!$D$2:$D$1000,A22)+COUNTIF(Wires!$F$2:$F$1000,A22)</f>
        <v/>
      </c>
      <c r="R22" s="12">
        <f>IF(A22="","",IF(D22="SPLICE","",IF(P22="N","fora da topologia; ","")&amp;IF(G22="","sem P/N; ","")&amp;IF(AND(G22&lt;&gt;"",COUNTIF(Parts!$A$2:$A$1000,G22)=0),"P/N não está em Parts; ","")&amp;IF(M22="","sem xyz; ","")))</f>
        <v/>
      </c>
      <c r="S22" s="10" t="inlineStr">
        <is>
          <t>Sem folha própria — criado a partir dos destinos.</t>
        </is>
      </c>
      <c r="T22" s="11" t="n"/>
    </row>
    <row r="23">
      <c r="A23" s="10" t="inlineStr">
        <is>
          <t>TS CABEL</t>
        </is>
      </c>
      <c r="B23" s="10" t="inlineStr">
        <is>
          <t>TS</t>
        </is>
      </c>
      <c r="C23" s="10" t="inlineStr">
        <is>
          <t>SIDEPANEL</t>
        </is>
      </c>
      <c r="D23" s="10" t="inlineStr">
        <is>
          <t>CONNECTOR</t>
        </is>
      </c>
      <c r="E23" s="12">
        <f>COUNTIF(Pins!$A$2:$A$1000,A23)</f>
        <v/>
      </c>
      <c r="F23" s="11" t="n"/>
      <c r="G23" s="11" t="n"/>
      <c r="H23" s="10" t="n"/>
      <c r="I23" s="10" t="n"/>
      <c r="J23" s="10" t="n"/>
      <c r="K23" s="10" t="n"/>
      <c r="L23" s="10" t="n"/>
      <c r="M23" s="11" t="n"/>
      <c r="N23" s="11" t="n"/>
      <c r="O23" s="11" t="n"/>
      <c r="P23" s="12">
        <f>IF(COUNTIF(Segments!$B$2:$C$1000,A23)&gt;0,"Y","N")</f>
        <v/>
      </c>
      <c r="Q23" s="12">
        <f>COUNTIF(Wires!$D$2:$D$1000,A23)+COUNTIF(Wires!$F$2:$F$1000,A23)</f>
        <v/>
      </c>
      <c r="R23" s="12">
        <f>IF(A23="","",IF(D23="SPLICE","",IF(P23="N","fora da topologia; ","")&amp;IF(G23="","sem P/N; ","")&amp;IF(AND(G23&lt;&gt;"",COUNTIF(Parts!$A$2:$A$1000,G23)=0),"P/N não está em Parts; ","")&amp;IF(M23="","sem xyz; ","")))</f>
        <v/>
      </c>
      <c r="S23" s="10" t="inlineStr">
        <is>
          <t>Sem folha própria — criado a partir dos destinos.</t>
        </is>
      </c>
      <c r="T23" s="11" t="n"/>
    </row>
    <row r="24">
      <c r="A24" s="10" t="inlineStr">
        <is>
          <t>BATTERY GND</t>
        </is>
      </c>
      <c r="B24" s="10" t="inlineStr">
        <is>
          <t>BATTERY</t>
        </is>
      </c>
      <c r="C24" s="10" t="inlineStr">
        <is>
          <t>SIDEPANEL</t>
        </is>
      </c>
      <c r="D24" s="10" t="inlineStr">
        <is>
          <t>STUD</t>
        </is>
      </c>
      <c r="E24" s="12">
        <f>COUNTIF(Pins!$A$2:$A$1000,A24)</f>
        <v/>
      </c>
      <c r="F24" s="11" t="n"/>
      <c r="G24" s="11" t="n"/>
      <c r="H24" s="10" t="n"/>
      <c r="I24" s="10" t="n"/>
      <c r="J24" s="10" t="n"/>
      <c r="K24" s="10" t="n"/>
      <c r="L24" s="10" t="n"/>
      <c r="M24" s="11" t="n"/>
      <c r="N24" s="11" t="n"/>
      <c r="O24" s="11" t="n"/>
      <c r="P24" s="12">
        <f>IF(COUNTIF(Segments!$B$2:$C$1000,A24)&gt;0,"Y","N")</f>
        <v/>
      </c>
      <c r="Q24" s="12">
        <f>COUNTIF(Wires!$D$2:$D$1000,A24)+COUNTIF(Wires!$F$2:$F$1000,A24)</f>
        <v/>
      </c>
      <c r="R24" s="12">
        <f>IF(A24="","",IF(D24="SPLICE","",IF(P24="N","fora da topologia; ","")&amp;IF(G24="","sem P/N; ","")&amp;IF(AND(G24&lt;&gt;"",COUNTIF(Parts!$A$2:$A$1000,G24)=0),"P/N não está em Parts; ","")&amp;IF(M24="","sem xyz; ","")))</f>
        <v/>
      </c>
      <c r="S24" s="10" t="inlineStr">
        <is>
          <t>Sem folha própria — criado a partir dos destinos.</t>
        </is>
      </c>
      <c r="T24" s="10" t="n"/>
    </row>
  </sheetData>
  <autoFilter ref="A1:T24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10" t="inlineStr">
        <is>
          <t>SIDEPANEL J1</t>
        </is>
      </c>
      <c r="B2" s="10" t="inlineStr">
        <is>
          <t>A</t>
        </is>
      </c>
      <c r="C2" s="10" t="n"/>
      <c r="D2" s="10" t="n"/>
      <c r="E2" s="10" t="n"/>
      <c r="F2" s="12">
        <f>IF(N2="","",INDEX(Wires!$A$2:$A$1000,N2))</f>
        <v/>
      </c>
      <c r="G2" s="12">
        <f>IF(N2="","",INDEX(Wires!$C$2:$C$1000,N2))</f>
        <v/>
      </c>
      <c r="H2" s="12">
        <f>IF(N2="","",IF(O2="from",INDEX(Wires!$F$2:$F$1000,N2)&amp;":"&amp;INDEX(Wires!$G$2:$G$1000,N2),INDEX(Wires!$D$2:$D$1000,N2)&amp;":"&amp;INDEX(Wires!$E$2:$E$1000,N2)))</f>
        <v/>
      </c>
      <c r="I2" s="12">
        <f>IF(N2="","",INDEX(Wires!$H$2:$H$1000,N2)&amp;"")</f>
        <v/>
      </c>
      <c r="J2" s="12">
        <f>IF(N2="","",IF(INDEX(Wires!$I$2:$I$1000,N2)="","",INDEX(Wires!$I$2:$I$1000,N2)))</f>
        <v/>
      </c>
      <c r="K2" s="12">
        <f>COUNTIF(Wires!$W$2:$W$1000,M2)+COUNTIF(Wires!$X$2:$X$1000,M2)</f>
        <v/>
      </c>
      <c r="L2" s="12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2">
        <f>A2&amp;":"&amp;B2&amp;IF(EXACT(B2,UPPER(B2)),"","|lc")</f>
        <v/>
      </c>
      <c r="N2" s="12">
        <f>IFERROR(MATCH(M2,Wires!$W$2:$W$1000,0),IFERROR(MATCH(M2,Wires!$X$2:$X$1000,0),""))</f>
        <v/>
      </c>
      <c r="O2" s="12">
        <f>IF(N2="","",IF(ISNUMBER(MATCH(M2,Wires!$W$2:$W$1000,0)),"from","to"))</f>
        <v/>
      </c>
    </row>
    <row r="3">
      <c r="A3" s="10" t="inlineStr">
        <is>
          <t>SIDEPANEL J1</t>
        </is>
      </c>
      <c r="B3" s="10" t="inlineStr">
        <is>
          <t>B</t>
        </is>
      </c>
      <c r="C3" s="10" t="n"/>
      <c r="D3" s="10" t="n"/>
      <c r="E3" s="10" t="n"/>
      <c r="F3" s="12">
        <f>IF(N3="","",INDEX(Wires!$A$2:$A$1000,N3))</f>
        <v/>
      </c>
      <c r="G3" s="12">
        <f>IF(N3="","",INDEX(Wires!$C$2:$C$1000,N3))</f>
        <v/>
      </c>
      <c r="H3" s="12">
        <f>IF(N3="","",IF(O3="from",INDEX(Wires!$F$2:$F$1000,N3)&amp;":"&amp;INDEX(Wires!$G$2:$G$1000,N3),INDEX(Wires!$D$2:$D$1000,N3)&amp;":"&amp;INDEX(Wires!$E$2:$E$1000,N3)))</f>
        <v/>
      </c>
      <c r="I3" s="12">
        <f>IF(N3="","",INDEX(Wires!$H$2:$H$1000,N3)&amp;"")</f>
        <v/>
      </c>
      <c r="J3" s="12">
        <f>IF(N3="","",IF(INDEX(Wires!$I$2:$I$1000,N3)="","",INDEX(Wires!$I$2:$I$1000,N3)))</f>
        <v/>
      </c>
      <c r="K3" s="12">
        <f>COUNTIF(Wires!$W$2:$W$1000,M3)+COUNTIF(Wires!$X$2:$X$1000,M3)</f>
        <v/>
      </c>
      <c r="L3" s="12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2">
        <f>A3&amp;":"&amp;B3&amp;IF(EXACT(B3,UPPER(B3)),"","|lc")</f>
        <v/>
      </c>
      <c r="N3" s="12">
        <f>IFERROR(MATCH(M3,Wires!$W$2:$W$1000,0),IFERROR(MATCH(M3,Wires!$X$2:$X$1000,0),""))</f>
        <v/>
      </c>
      <c r="O3" s="12">
        <f>IF(N3="","",IF(ISNUMBER(MATCH(M3,Wires!$W$2:$W$1000,0)),"from","to"))</f>
        <v/>
      </c>
    </row>
    <row r="4">
      <c r="A4" s="10" t="inlineStr">
        <is>
          <t>SIDEPANEL J1</t>
        </is>
      </c>
      <c r="B4" s="10" t="inlineStr">
        <is>
          <t>C</t>
        </is>
      </c>
      <c r="C4" s="10" t="n"/>
      <c r="D4" s="10" t="n"/>
      <c r="E4" s="10" t="n"/>
      <c r="F4" s="12">
        <f>IF(N4="","",INDEX(Wires!$A$2:$A$1000,N4))</f>
        <v/>
      </c>
      <c r="G4" s="12">
        <f>IF(N4="","",INDEX(Wires!$C$2:$C$1000,N4))</f>
        <v/>
      </c>
      <c r="H4" s="12">
        <f>IF(N4="","",IF(O4="from",INDEX(Wires!$F$2:$F$1000,N4)&amp;":"&amp;INDEX(Wires!$G$2:$G$1000,N4),INDEX(Wires!$D$2:$D$1000,N4)&amp;":"&amp;INDEX(Wires!$E$2:$E$1000,N4)))</f>
        <v/>
      </c>
      <c r="I4" s="12">
        <f>IF(N4="","",INDEX(Wires!$H$2:$H$1000,N4)&amp;"")</f>
        <v/>
      </c>
      <c r="J4" s="12">
        <f>IF(N4="","",IF(INDEX(Wires!$I$2:$I$1000,N4)="","",INDEX(Wires!$I$2:$I$1000,N4)))</f>
        <v/>
      </c>
      <c r="K4" s="12">
        <f>COUNTIF(Wires!$W$2:$W$1000,M4)+COUNTIF(Wires!$X$2:$X$1000,M4)</f>
        <v/>
      </c>
      <c r="L4" s="12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2">
        <f>A4&amp;":"&amp;B4&amp;IF(EXACT(B4,UPPER(B4)),"","|lc")</f>
        <v/>
      </c>
      <c r="N4" s="12">
        <f>IFERROR(MATCH(M4,Wires!$W$2:$W$1000,0),IFERROR(MATCH(M4,Wires!$X$2:$X$1000,0),""))</f>
        <v/>
      </c>
      <c r="O4" s="12">
        <f>IF(N4="","",IF(ISNUMBER(MATCH(M4,Wires!$W$2:$W$1000,0)),"from","to"))</f>
        <v/>
      </c>
    </row>
    <row r="5">
      <c r="A5" s="10" t="inlineStr">
        <is>
          <t>SIDEPANEL J1</t>
        </is>
      </c>
      <c r="B5" s="10" t="inlineStr">
        <is>
          <t>D</t>
        </is>
      </c>
      <c r="C5" s="10" t="n"/>
      <c r="D5" s="10" t="n"/>
      <c r="E5" s="10" t="n"/>
      <c r="F5" s="12">
        <f>IF(N5="","",INDEX(Wires!$A$2:$A$1000,N5))</f>
        <v/>
      </c>
      <c r="G5" s="12">
        <f>IF(N5="","",INDEX(Wires!$C$2:$C$1000,N5))</f>
        <v/>
      </c>
      <c r="H5" s="12">
        <f>IF(N5="","",IF(O5="from",INDEX(Wires!$F$2:$F$1000,N5)&amp;":"&amp;INDEX(Wires!$G$2:$G$1000,N5),INDEX(Wires!$D$2:$D$1000,N5)&amp;":"&amp;INDEX(Wires!$E$2:$E$1000,N5)))</f>
        <v/>
      </c>
      <c r="I5" s="12">
        <f>IF(N5="","",INDEX(Wires!$H$2:$H$1000,N5)&amp;"")</f>
        <v/>
      </c>
      <c r="J5" s="12">
        <f>IF(N5="","",IF(INDEX(Wires!$I$2:$I$1000,N5)="","",INDEX(Wires!$I$2:$I$1000,N5)))</f>
        <v/>
      </c>
      <c r="K5" s="12">
        <f>COUNTIF(Wires!$W$2:$W$1000,M5)+COUNTIF(Wires!$X$2:$X$1000,M5)</f>
        <v/>
      </c>
      <c r="L5" s="12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2">
        <f>A5&amp;":"&amp;B5&amp;IF(EXACT(B5,UPPER(B5)),"","|lc")</f>
        <v/>
      </c>
      <c r="N5" s="12">
        <f>IFERROR(MATCH(M5,Wires!$W$2:$W$1000,0),IFERROR(MATCH(M5,Wires!$X$2:$X$1000,0),""))</f>
        <v/>
      </c>
      <c r="O5" s="12">
        <f>IF(N5="","",IF(ISNUMBER(MATCH(M5,Wires!$W$2:$W$1000,0)),"from","to"))</f>
        <v/>
      </c>
    </row>
    <row r="6">
      <c r="A6" s="10" t="inlineStr">
        <is>
          <t>SIDEPANEL J1</t>
        </is>
      </c>
      <c r="B6" s="10" t="inlineStr">
        <is>
          <t>E</t>
        </is>
      </c>
      <c r="C6" s="10" t="n"/>
      <c r="D6" s="10" t="n"/>
      <c r="E6" s="10" t="n"/>
      <c r="F6" s="12">
        <f>IF(N6="","",INDEX(Wires!$A$2:$A$1000,N6))</f>
        <v/>
      </c>
      <c r="G6" s="12">
        <f>IF(N6="","",INDEX(Wires!$C$2:$C$1000,N6))</f>
        <v/>
      </c>
      <c r="H6" s="12">
        <f>IF(N6="","",IF(O6="from",INDEX(Wires!$F$2:$F$1000,N6)&amp;":"&amp;INDEX(Wires!$G$2:$G$1000,N6),INDEX(Wires!$D$2:$D$1000,N6)&amp;":"&amp;INDEX(Wires!$E$2:$E$1000,N6)))</f>
        <v/>
      </c>
      <c r="I6" s="12">
        <f>IF(N6="","",INDEX(Wires!$H$2:$H$1000,N6)&amp;"")</f>
        <v/>
      </c>
      <c r="J6" s="12">
        <f>IF(N6="","",IF(INDEX(Wires!$I$2:$I$1000,N6)="","",INDEX(Wires!$I$2:$I$1000,N6)))</f>
        <v/>
      </c>
      <c r="K6" s="12">
        <f>COUNTIF(Wires!$W$2:$W$1000,M6)+COUNTIF(Wires!$X$2:$X$1000,M6)</f>
        <v/>
      </c>
      <c r="L6" s="12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2">
        <f>A6&amp;":"&amp;B6&amp;IF(EXACT(B6,UPPER(B6)),"","|lc")</f>
        <v/>
      </c>
      <c r="N6" s="12">
        <f>IFERROR(MATCH(M6,Wires!$W$2:$W$1000,0),IFERROR(MATCH(M6,Wires!$X$2:$X$1000,0),""))</f>
        <v/>
      </c>
      <c r="O6" s="12">
        <f>IF(N6="","",IF(ISNUMBER(MATCH(M6,Wires!$W$2:$W$1000,0)),"from","to"))</f>
        <v/>
      </c>
    </row>
    <row r="7">
      <c r="A7" s="10" t="inlineStr">
        <is>
          <t>SIDEPANEL J1</t>
        </is>
      </c>
      <c r="B7" s="10" t="inlineStr">
        <is>
          <t>F</t>
        </is>
      </c>
      <c r="C7" s="10" t="n"/>
      <c r="D7" s="10" t="n"/>
      <c r="E7" s="10" t="n"/>
      <c r="F7" s="12">
        <f>IF(N7="","",INDEX(Wires!$A$2:$A$1000,N7))</f>
        <v/>
      </c>
      <c r="G7" s="12">
        <f>IF(N7="","",INDEX(Wires!$C$2:$C$1000,N7))</f>
        <v/>
      </c>
      <c r="H7" s="12">
        <f>IF(N7="","",IF(O7="from",INDEX(Wires!$F$2:$F$1000,N7)&amp;":"&amp;INDEX(Wires!$G$2:$G$1000,N7),INDEX(Wires!$D$2:$D$1000,N7)&amp;":"&amp;INDEX(Wires!$E$2:$E$1000,N7)))</f>
        <v/>
      </c>
      <c r="I7" s="12">
        <f>IF(N7="","",INDEX(Wires!$H$2:$H$1000,N7)&amp;"")</f>
        <v/>
      </c>
      <c r="J7" s="12">
        <f>IF(N7="","",IF(INDEX(Wires!$I$2:$I$1000,N7)="","",INDEX(Wires!$I$2:$I$1000,N7)))</f>
        <v/>
      </c>
      <c r="K7" s="12">
        <f>COUNTIF(Wires!$W$2:$W$1000,M7)+COUNTIF(Wires!$X$2:$X$1000,M7)</f>
        <v/>
      </c>
      <c r="L7" s="12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2">
        <f>A7&amp;":"&amp;B7&amp;IF(EXACT(B7,UPPER(B7)),"","|lc")</f>
        <v/>
      </c>
      <c r="N7" s="12">
        <f>IFERROR(MATCH(M7,Wires!$W$2:$W$1000,0),IFERROR(MATCH(M7,Wires!$X$2:$X$1000,0),""))</f>
        <v/>
      </c>
      <c r="O7" s="12">
        <f>IF(N7="","",IF(ISNUMBER(MATCH(M7,Wires!$W$2:$W$1000,0)),"from","to"))</f>
        <v/>
      </c>
    </row>
    <row r="8">
      <c r="A8" s="10" t="inlineStr">
        <is>
          <t>SIDEPANEL J1</t>
        </is>
      </c>
      <c r="B8" s="10" t="inlineStr">
        <is>
          <t>G</t>
        </is>
      </c>
      <c r="C8" s="10" t="n"/>
      <c r="D8" s="10" t="n"/>
      <c r="E8" s="10" t="n"/>
      <c r="F8" s="12">
        <f>IF(N8="","",INDEX(Wires!$A$2:$A$1000,N8))</f>
        <v/>
      </c>
      <c r="G8" s="12">
        <f>IF(N8="","",INDEX(Wires!$C$2:$C$1000,N8))</f>
        <v/>
      </c>
      <c r="H8" s="12">
        <f>IF(N8="","",IF(O8="from",INDEX(Wires!$F$2:$F$1000,N8)&amp;":"&amp;INDEX(Wires!$G$2:$G$1000,N8),INDEX(Wires!$D$2:$D$1000,N8)&amp;":"&amp;INDEX(Wires!$E$2:$E$1000,N8)))</f>
        <v/>
      </c>
      <c r="I8" s="12">
        <f>IF(N8="","",INDEX(Wires!$H$2:$H$1000,N8)&amp;"")</f>
        <v/>
      </c>
      <c r="J8" s="12">
        <f>IF(N8="","",IF(INDEX(Wires!$I$2:$I$1000,N8)="","",INDEX(Wires!$I$2:$I$1000,N8)))</f>
        <v/>
      </c>
      <c r="K8" s="12">
        <f>COUNTIF(Wires!$W$2:$W$1000,M8)+COUNTIF(Wires!$X$2:$X$1000,M8)</f>
        <v/>
      </c>
      <c r="L8" s="12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2">
        <f>A8&amp;":"&amp;B8&amp;IF(EXACT(B8,UPPER(B8)),"","|lc")</f>
        <v/>
      </c>
      <c r="N8" s="12">
        <f>IFERROR(MATCH(M8,Wires!$W$2:$W$1000,0),IFERROR(MATCH(M8,Wires!$X$2:$X$1000,0),""))</f>
        <v/>
      </c>
      <c r="O8" s="12">
        <f>IF(N8="","",IF(ISNUMBER(MATCH(M8,Wires!$W$2:$W$1000,0)),"from","to"))</f>
        <v/>
      </c>
    </row>
    <row r="9">
      <c r="A9" s="10" t="inlineStr">
        <is>
          <t>SIDEPANEL J1</t>
        </is>
      </c>
      <c r="B9" s="10" t="inlineStr">
        <is>
          <t>H</t>
        </is>
      </c>
      <c r="C9" s="10" t="n"/>
      <c r="D9" s="10" t="n"/>
      <c r="E9" s="10" t="n"/>
      <c r="F9" s="12">
        <f>IF(N9="","",INDEX(Wires!$A$2:$A$1000,N9))</f>
        <v/>
      </c>
      <c r="G9" s="12">
        <f>IF(N9="","",INDEX(Wires!$C$2:$C$1000,N9))</f>
        <v/>
      </c>
      <c r="H9" s="12">
        <f>IF(N9="","",IF(O9="from",INDEX(Wires!$F$2:$F$1000,N9)&amp;":"&amp;INDEX(Wires!$G$2:$G$1000,N9),INDEX(Wires!$D$2:$D$1000,N9)&amp;":"&amp;INDEX(Wires!$E$2:$E$1000,N9)))</f>
        <v/>
      </c>
      <c r="I9" s="12">
        <f>IF(N9="","",INDEX(Wires!$H$2:$H$1000,N9)&amp;"")</f>
        <v/>
      </c>
      <c r="J9" s="12">
        <f>IF(N9="","",IF(INDEX(Wires!$I$2:$I$1000,N9)="","",INDEX(Wires!$I$2:$I$1000,N9)))</f>
        <v/>
      </c>
      <c r="K9" s="12">
        <f>COUNTIF(Wires!$W$2:$W$1000,M9)+COUNTIF(Wires!$X$2:$X$1000,M9)</f>
        <v/>
      </c>
      <c r="L9" s="12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2">
        <f>A9&amp;":"&amp;B9&amp;IF(EXACT(B9,UPPER(B9)),"","|lc")</f>
        <v/>
      </c>
      <c r="N9" s="12">
        <f>IFERROR(MATCH(M9,Wires!$W$2:$W$1000,0),IFERROR(MATCH(M9,Wires!$X$2:$X$1000,0),""))</f>
        <v/>
      </c>
      <c r="O9" s="12">
        <f>IF(N9="","",IF(ISNUMBER(MATCH(M9,Wires!$W$2:$W$1000,0)),"from","to"))</f>
        <v/>
      </c>
    </row>
    <row r="10">
      <c r="A10" s="10" t="inlineStr">
        <is>
          <t>SIDEPANEL J1</t>
        </is>
      </c>
      <c r="B10" s="10" t="inlineStr">
        <is>
          <t>J</t>
        </is>
      </c>
      <c r="C10" s="10" t="n"/>
      <c r="D10" s="10" t="n"/>
      <c r="E10" s="10" t="n"/>
      <c r="F10" s="12">
        <f>IF(N10="","",INDEX(Wires!$A$2:$A$1000,N10))</f>
        <v/>
      </c>
      <c r="G10" s="12">
        <f>IF(N10="","",INDEX(Wires!$C$2:$C$1000,N10))</f>
        <v/>
      </c>
      <c r="H10" s="12">
        <f>IF(N10="","",IF(O10="from",INDEX(Wires!$F$2:$F$1000,N10)&amp;":"&amp;INDEX(Wires!$G$2:$G$1000,N10),INDEX(Wires!$D$2:$D$1000,N10)&amp;":"&amp;INDEX(Wires!$E$2:$E$1000,N10)))</f>
        <v/>
      </c>
      <c r="I10" s="12">
        <f>IF(N10="","",INDEX(Wires!$H$2:$H$1000,N10)&amp;"")</f>
        <v/>
      </c>
      <c r="J10" s="12">
        <f>IF(N10="","",IF(INDEX(Wires!$I$2:$I$1000,N10)="","",INDEX(Wires!$I$2:$I$1000,N10)))</f>
        <v/>
      </c>
      <c r="K10" s="12">
        <f>COUNTIF(Wires!$W$2:$W$1000,M10)+COUNTIF(Wires!$X$2:$X$1000,M10)</f>
        <v/>
      </c>
      <c r="L10" s="12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2">
        <f>A10&amp;":"&amp;B10&amp;IF(EXACT(B10,UPPER(B10)),"","|lc")</f>
        <v/>
      </c>
      <c r="N10" s="12">
        <f>IFERROR(MATCH(M10,Wires!$W$2:$W$1000,0),IFERROR(MATCH(M10,Wires!$X$2:$X$1000,0),""))</f>
        <v/>
      </c>
      <c r="O10" s="12">
        <f>IF(N10="","",IF(ISNUMBER(MATCH(M10,Wires!$W$2:$W$1000,0)),"from","to"))</f>
        <v/>
      </c>
    </row>
    <row r="11">
      <c r="A11" s="10" t="inlineStr">
        <is>
          <t>SIDEPANEL J1</t>
        </is>
      </c>
      <c r="B11" s="10" t="inlineStr">
        <is>
          <t>K</t>
        </is>
      </c>
      <c r="C11" s="10" t="inlineStr">
        <is>
          <t>SDC In</t>
        </is>
      </c>
      <c r="D11" s="10" t="inlineStr">
        <is>
          <t>IN</t>
        </is>
      </c>
      <c r="E11" s="10" t="inlineStr">
        <is>
          <t>24V</t>
        </is>
      </c>
      <c r="F11" s="12">
        <f>IF(N11="","",INDEX(Wires!$A$2:$A$1000,N11))</f>
        <v/>
      </c>
      <c r="G11" s="12">
        <f>IF(N11="","",INDEX(Wires!$C$2:$C$1000,N11))</f>
        <v/>
      </c>
      <c r="H11" s="12">
        <f>IF(N11="","",IF(O11="from",INDEX(Wires!$F$2:$F$1000,N11)&amp;":"&amp;INDEX(Wires!$G$2:$G$1000,N11),INDEX(Wires!$D$2:$D$1000,N11)&amp;":"&amp;INDEX(Wires!$E$2:$E$1000,N11)))</f>
        <v/>
      </c>
      <c r="I11" s="12">
        <f>IF(N11="","",INDEX(Wires!$H$2:$H$1000,N11)&amp;"")</f>
        <v/>
      </c>
      <c r="J11" s="12">
        <f>IF(N11="","",IF(INDEX(Wires!$I$2:$I$1000,N11)="","",INDEX(Wires!$I$2:$I$1000,N11)))</f>
        <v/>
      </c>
      <c r="K11" s="12">
        <f>COUNTIF(Wires!$W$2:$W$1000,M11)+COUNTIF(Wires!$X$2:$X$1000,M11)</f>
        <v/>
      </c>
      <c r="L11" s="12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2">
        <f>A11&amp;":"&amp;B11&amp;IF(EXACT(B11,UPPER(B11)),"","|lc")</f>
        <v/>
      </c>
      <c r="N11" s="12">
        <f>IFERROR(MATCH(M11,Wires!$W$2:$W$1000,0),IFERROR(MATCH(M11,Wires!$X$2:$X$1000,0),""))</f>
        <v/>
      </c>
      <c r="O11" s="12">
        <f>IF(N11="","",IF(ISNUMBER(MATCH(M11,Wires!$W$2:$W$1000,0)),"from","to"))</f>
        <v/>
      </c>
    </row>
    <row r="12">
      <c r="A12" s="10" t="inlineStr">
        <is>
          <t>SIDEPANEL J1</t>
        </is>
      </c>
      <c r="B12" s="10" t="inlineStr">
        <is>
          <t>L</t>
        </is>
      </c>
      <c r="C12" s="10" t="inlineStr">
        <is>
          <t>SDC Out</t>
        </is>
      </c>
      <c r="D12" s="10" t="inlineStr">
        <is>
          <t>OUT</t>
        </is>
      </c>
      <c r="E12" s="10" t="inlineStr">
        <is>
          <t>24V</t>
        </is>
      </c>
      <c r="F12" s="12">
        <f>IF(N12="","",INDEX(Wires!$A$2:$A$1000,N12))</f>
        <v/>
      </c>
      <c r="G12" s="12">
        <f>IF(N12="","",INDEX(Wires!$C$2:$C$1000,N12))</f>
        <v/>
      </c>
      <c r="H12" s="12">
        <f>IF(N12="","",IF(O12="from",INDEX(Wires!$F$2:$F$1000,N12)&amp;":"&amp;INDEX(Wires!$G$2:$G$1000,N12),INDEX(Wires!$D$2:$D$1000,N12)&amp;":"&amp;INDEX(Wires!$E$2:$E$1000,N12)))</f>
        <v/>
      </c>
      <c r="I12" s="12">
        <f>IF(N12="","",INDEX(Wires!$H$2:$H$1000,N12)&amp;"")</f>
        <v/>
      </c>
      <c r="J12" s="12">
        <f>IF(N12="","",IF(INDEX(Wires!$I$2:$I$1000,N12)="","",INDEX(Wires!$I$2:$I$1000,N12)))</f>
        <v/>
      </c>
      <c r="K12" s="12">
        <f>COUNTIF(Wires!$W$2:$W$1000,M12)+COUNTIF(Wires!$X$2:$X$1000,M12)</f>
        <v/>
      </c>
      <c r="L12" s="12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2">
        <f>A12&amp;":"&amp;B12&amp;IF(EXACT(B12,UPPER(B12)),"","|lc")</f>
        <v/>
      </c>
      <c r="N12" s="12">
        <f>IFERROR(MATCH(M12,Wires!$W$2:$W$1000,0),IFERROR(MATCH(M12,Wires!$X$2:$X$1000,0),""))</f>
        <v/>
      </c>
      <c r="O12" s="12">
        <f>IF(N12="","",IF(ISNUMBER(MATCH(M12,Wires!$W$2:$W$1000,0)),"from","to"))</f>
        <v/>
      </c>
    </row>
    <row r="13">
      <c r="A13" s="10" t="inlineStr">
        <is>
          <t>SIDEPANEL J1</t>
        </is>
      </c>
      <c r="B13" s="10" t="inlineStr">
        <is>
          <t>M</t>
        </is>
      </c>
      <c r="C13" s="10" t="inlineStr">
        <is>
          <t>ASMS In</t>
        </is>
      </c>
      <c r="D13" s="10" t="inlineStr">
        <is>
          <t>IN</t>
        </is>
      </c>
      <c r="E13" s="10" t="inlineStr">
        <is>
          <t>24V</t>
        </is>
      </c>
      <c r="F13" s="12">
        <f>IF(N13="","",INDEX(Wires!$A$2:$A$1000,N13))</f>
        <v/>
      </c>
      <c r="G13" s="12">
        <f>IF(N13="","",INDEX(Wires!$C$2:$C$1000,N13))</f>
        <v/>
      </c>
      <c r="H13" s="12">
        <f>IF(N13="","",IF(O13="from",INDEX(Wires!$F$2:$F$1000,N13)&amp;":"&amp;INDEX(Wires!$G$2:$G$1000,N13),INDEX(Wires!$D$2:$D$1000,N13)&amp;":"&amp;INDEX(Wires!$E$2:$E$1000,N13)))</f>
        <v/>
      </c>
      <c r="I13" s="12">
        <f>IF(N13="","",INDEX(Wires!$H$2:$H$1000,N13)&amp;"")</f>
        <v/>
      </c>
      <c r="J13" s="12">
        <f>IF(N13="","",IF(INDEX(Wires!$I$2:$I$1000,N13)="","",INDEX(Wires!$I$2:$I$1000,N13)))</f>
        <v/>
      </c>
      <c r="K13" s="12">
        <f>COUNTIF(Wires!$W$2:$W$1000,M13)+COUNTIF(Wires!$X$2:$X$1000,M13)</f>
        <v/>
      </c>
      <c r="L13" s="12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2">
        <f>A13&amp;":"&amp;B13&amp;IF(EXACT(B13,UPPER(B13)),"","|lc")</f>
        <v/>
      </c>
      <c r="N13" s="12">
        <f>IFERROR(MATCH(M13,Wires!$W$2:$W$1000,0),IFERROR(MATCH(M13,Wires!$X$2:$X$1000,0),""))</f>
        <v/>
      </c>
      <c r="O13" s="12">
        <f>IF(N13="","",IF(ISNUMBER(MATCH(M13,Wires!$W$2:$W$1000,0)),"from","to"))</f>
        <v/>
      </c>
    </row>
    <row r="14">
      <c r="A14" s="10" t="inlineStr">
        <is>
          <t>SIDEPANEL J1</t>
        </is>
      </c>
      <c r="B14" s="10" t="inlineStr">
        <is>
          <t>N</t>
        </is>
      </c>
      <c r="C14" s="10" t="inlineStr">
        <is>
          <t>ASMS Out</t>
        </is>
      </c>
      <c r="D14" s="10" t="inlineStr">
        <is>
          <t>OUT</t>
        </is>
      </c>
      <c r="E14" s="10" t="inlineStr">
        <is>
          <t>24V</t>
        </is>
      </c>
      <c r="F14" s="12">
        <f>IF(N14="","",INDEX(Wires!$A$2:$A$1000,N14))</f>
        <v/>
      </c>
      <c r="G14" s="12">
        <f>IF(N14="","",INDEX(Wires!$C$2:$C$1000,N14))</f>
        <v/>
      </c>
      <c r="H14" s="12">
        <f>IF(N14="","",IF(O14="from",INDEX(Wires!$F$2:$F$1000,N14)&amp;":"&amp;INDEX(Wires!$G$2:$G$1000,N14),INDEX(Wires!$D$2:$D$1000,N14)&amp;":"&amp;INDEX(Wires!$E$2:$E$1000,N14)))</f>
        <v/>
      </c>
      <c r="I14" s="12">
        <f>IF(N14="","",INDEX(Wires!$H$2:$H$1000,N14)&amp;"")</f>
        <v/>
      </c>
      <c r="J14" s="12">
        <f>IF(N14="","",IF(INDEX(Wires!$I$2:$I$1000,N14)="","",INDEX(Wires!$I$2:$I$1000,N14)))</f>
        <v/>
      </c>
      <c r="K14" s="12">
        <f>COUNTIF(Wires!$W$2:$W$1000,M14)+COUNTIF(Wires!$X$2:$X$1000,M14)</f>
        <v/>
      </c>
      <c r="L14" s="12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2">
        <f>A14&amp;":"&amp;B14&amp;IF(EXACT(B14,UPPER(B14)),"","|lc")</f>
        <v/>
      </c>
      <c r="N14" s="12">
        <f>IFERROR(MATCH(M14,Wires!$W$2:$W$1000,0),IFERROR(MATCH(M14,Wires!$X$2:$X$1000,0),""))</f>
        <v/>
      </c>
      <c r="O14" s="12">
        <f>IF(N14="","",IF(ISNUMBER(MATCH(M14,Wires!$W$2:$W$1000,0)),"from","to"))</f>
        <v/>
      </c>
    </row>
    <row r="15">
      <c r="A15" s="10" t="inlineStr">
        <is>
          <t>SIDEPANEL J1</t>
        </is>
      </c>
      <c r="B15" s="10" t="inlineStr">
        <is>
          <t>P</t>
        </is>
      </c>
      <c r="C15" s="10" t="inlineStr">
        <is>
          <t>Reset Out</t>
        </is>
      </c>
      <c r="D15" s="10" t="inlineStr">
        <is>
          <t>OUT</t>
        </is>
      </c>
      <c r="E15" s="10" t="inlineStr">
        <is>
          <t>0V</t>
        </is>
      </c>
      <c r="F15" s="12">
        <f>IF(N15="","",INDEX(Wires!$A$2:$A$1000,N15))</f>
        <v/>
      </c>
      <c r="G15" s="12">
        <f>IF(N15="","",INDEX(Wires!$C$2:$C$1000,N15))</f>
        <v/>
      </c>
      <c r="H15" s="12">
        <f>IF(N15="","",IF(O15="from",INDEX(Wires!$F$2:$F$1000,N15)&amp;":"&amp;INDEX(Wires!$G$2:$G$1000,N15),INDEX(Wires!$D$2:$D$1000,N15)&amp;":"&amp;INDEX(Wires!$E$2:$E$1000,N15)))</f>
        <v/>
      </c>
      <c r="I15" s="12">
        <f>IF(N15="","",INDEX(Wires!$H$2:$H$1000,N15)&amp;"")</f>
        <v/>
      </c>
      <c r="J15" s="12">
        <f>IF(N15="","",IF(INDEX(Wires!$I$2:$I$1000,N15)="","",INDEX(Wires!$I$2:$I$1000,N15)))</f>
        <v/>
      </c>
      <c r="K15" s="12">
        <f>COUNTIF(Wires!$W$2:$W$1000,M15)+COUNTIF(Wires!$X$2:$X$1000,M15)</f>
        <v/>
      </c>
      <c r="L15" s="12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2">
        <f>A15&amp;":"&amp;B15&amp;IF(EXACT(B15,UPPER(B15)),"","|lc")</f>
        <v/>
      </c>
      <c r="N15" s="12">
        <f>IFERROR(MATCH(M15,Wires!$W$2:$W$1000,0),IFERROR(MATCH(M15,Wires!$X$2:$X$1000,0),""))</f>
        <v/>
      </c>
      <c r="O15" s="12">
        <f>IF(N15="","",IF(ISNUMBER(MATCH(M15,Wires!$W$2:$W$1000,0)),"from","to"))</f>
        <v/>
      </c>
    </row>
    <row r="16">
      <c r="A16" s="10" t="inlineStr">
        <is>
          <t>SIDEPANEL J1</t>
        </is>
      </c>
      <c r="B16" s="10" t="inlineStr">
        <is>
          <t>R</t>
        </is>
      </c>
      <c r="C16" s="10" t="inlineStr">
        <is>
          <t>M.S. Out</t>
        </is>
      </c>
      <c r="D16" s="10" t="inlineStr">
        <is>
          <t>OUT</t>
        </is>
      </c>
      <c r="E16" s="10" t="inlineStr">
        <is>
          <t>24V</t>
        </is>
      </c>
      <c r="F16" s="12">
        <f>IF(N16="","",INDEX(Wires!$A$2:$A$1000,N16))</f>
        <v/>
      </c>
      <c r="G16" s="12">
        <f>IF(N16="","",INDEX(Wires!$C$2:$C$1000,N16))</f>
        <v/>
      </c>
      <c r="H16" s="12">
        <f>IF(N16="","",IF(O16="from",INDEX(Wires!$F$2:$F$1000,N16)&amp;":"&amp;INDEX(Wires!$G$2:$G$1000,N16),INDEX(Wires!$D$2:$D$1000,N16)&amp;":"&amp;INDEX(Wires!$E$2:$E$1000,N16)))</f>
        <v/>
      </c>
      <c r="I16" s="12">
        <f>IF(N16="","",INDEX(Wires!$H$2:$H$1000,N16)&amp;"")</f>
        <v/>
      </c>
      <c r="J16" s="12">
        <f>IF(N16="","",IF(INDEX(Wires!$I$2:$I$1000,N16)="","",INDEX(Wires!$I$2:$I$1000,N16)))</f>
        <v/>
      </c>
      <c r="K16" s="12">
        <f>COUNTIF(Wires!$W$2:$W$1000,M16)+COUNTIF(Wires!$X$2:$X$1000,M16)</f>
        <v/>
      </c>
      <c r="L16" s="12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2">
        <f>A16&amp;":"&amp;B16&amp;IF(EXACT(B16,UPPER(B16)),"","|lc")</f>
        <v/>
      </c>
      <c r="N16" s="12">
        <f>IFERROR(MATCH(M16,Wires!$W$2:$W$1000,0),IFERROR(MATCH(M16,Wires!$X$2:$X$1000,0),""))</f>
        <v/>
      </c>
      <c r="O16" s="12">
        <f>IF(N16="","",IF(ISNUMBER(MATCH(M16,Wires!$W$2:$W$1000,0)),"from","to"))</f>
        <v/>
      </c>
    </row>
    <row r="17">
      <c r="A17" s="10" t="inlineStr">
        <is>
          <t>SIDEPANEL J1</t>
        </is>
      </c>
      <c r="B17" s="10" t="inlineStr">
        <is>
          <t>S</t>
        </is>
      </c>
      <c r="C17" s="10" t="inlineStr">
        <is>
          <t>IGN Out</t>
        </is>
      </c>
      <c r="D17" s="10" t="inlineStr">
        <is>
          <t>OUT</t>
        </is>
      </c>
      <c r="E17" s="10" t="inlineStr">
        <is>
          <t>24V</t>
        </is>
      </c>
      <c r="F17" s="12">
        <f>IF(N17="","",INDEX(Wires!$A$2:$A$1000,N17))</f>
        <v/>
      </c>
      <c r="G17" s="12">
        <f>IF(N17="","",INDEX(Wires!$C$2:$C$1000,N17))</f>
        <v/>
      </c>
      <c r="H17" s="12">
        <f>IF(N17="","",IF(O17="from",INDEX(Wires!$F$2:$F$1000,N17)&amp;":"&amp;INDEX(Wires!$G$2:$G$1000,N17),INDEX(Wires!$D$2:$D$1000,N17)&amp;":"&amp;INDEX(Wires!$E$2:$E$1000,N17)))</f>
        <v/>
      </c>
      <c r="I17" s="12">
        <f>IF(N17="","",INDEX(Wires!$H$2:$H$1000,N17)&amp;"")</f>
        <v/>
      </c>
      <c r="J17" s="12">
        <f>IF(N17="","",IF(INDEX(Wires!$I$2:$I$1000,N17)="","",INDEX(Wires!$I$2:$I$1000,N17)))</f>
        <v/>
      </c>
      <c r="K17" s="12">
        <f>COUNTIF(Wires!$W$2:$W$1000,M17)+COUNTIF(Wires!$X$2:$X$1000,M17)</f>
        <v/>
      </c>
      <c r="L17" s="12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2">
        <f>A17&amp;":"&amp;B17&amp;IF(EXACT(B17,UPPER(B17)),"","|lc")</f>
        <v/>
      </c>
      <c r="N17" s="12">
        <f>IFERROR(MATCH(M17,Wires!$W$2:$W$1000,0),IFERROR(MATCH(M17,Wires!$X$2:$X$1000,0),""))</f>
        <v/>
      </c>
      <c r="O17" s="12">
        <f>IF(N17="","",IF(ISNUMBER(MATCH(M17,Wires!$W$2:$W$1000,0)),"from","to"))</f>
        <v/>
      </c>
    </row>
    <row r="18">
      <c r="A18" s="10" t="inlineStr">
        <is>
          <t>SIDEPANEL J1</t>
        </is>
      </c>
      <c r="B18" s="10" t="inlineStr">
        <is>
          <t>T</t>
        </is>
      </c>
      <c r="C18" s="10" t="inlineStr">
        <is>
          <t>Race Out</t>
        </is>
      </c>
      <c r="D18" s="10" t="inlineStr">
        <is>
          <t>OUT</t>
        </is>
      </c>
      <c r="E18" s="10" t="inlineStr">
        <is>
          <t>24V</t>
        </is>
      </c>
      <c r="F18" s="12">
        <f>IF(N18="","",INDEX(Wires!$A$2:$A$1000,N18))</f>
        <v/>
      </c>
      <c r="G18" s="12">
        <f>IF(N18="","",INDEX(Wires!$C$2:$C$1000,N18))</f>
        <v/>
      </c>
      <c r="H18" s="12">
        <f>IF(N18="","",IF(O18="from",INDEX(Wires!$F$2:$F$1000,N18)&amp;":"&amp;INDEX(Wires!$G$2:$G$1000,N18),INDEX(Wires!$D$2:$D$1000,N18)&amp;":"&amp;INDEX(Wires!$E$2:$E$1000,N18)))</f>
        <v/>
      </c>
      <c r="I18" s="12">
        <f>IF(N18="","",INDEX(Wires!$H$2:$H$1000,N18)&amp;"")</f>
        <v/>
      </c>
      <c r="J18" s="12">
        <f>IF(N18="","",IF(INDEX(Wires!$I$2:$I$1000,N18)="","",INDEX(Wires!$I$2:$I$1000,N18)))</f>
        <v/>
      </c>
      <c r="K18" s="12">
        <f>COUNTIF(Wires!$W$2:$W$1000,M18)+COUNTIF(Wires!$X$2:$X$1000,M18)</f>
        <v/>
      </c>
      <c r="L18" s="12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2">
        <f>A18&amp;":"&amp;B18&amp;IF(EXACT(B18,UPPER(B18)),"","|lc")</f>
        <v/>
      </c>
      <c r="N18" s="12">
        <f>IFERROR(MATCH(M18,Wires!$W$2:$W$1000,0),IFERROR(MATCH(M18,Wires!$X$2:$X$1000,0),""))</f>
        <v/>
      </c>
      <c r="O18" s="12">
        <f>IF(N18="","",IF(ISNUMBER(MATCH(M18,Wires!$W$2:$W$1000,0)),"from","to"))</f>
        <v/>
      </c>
    </row>
    <row r="19">
      <c r="A19" s="10" t="inlineStr">
        <is>
          <t>SIDEPANEL J1</t>
        </is>
      </c>
      <c r="B19" s="10" t="inlineStr">
        <is>
          <t>U</t>
        </is>
      </c>
      <c r="C19" s="10" t="inlineStr">
        <is>
          <t>FSG DL S.</t>
        </is>
      </c>
      <c r="D19" s="10" t="inlineStr">
        <is>
          <t>OUT</t>
        </is>
      </c>
      <c r="E19" s="10" t="inlineStr">
        <is>
          <t>24V</t>
        </is>
      </c>
      <c r="F19" s="12">
        <f>IF(N19="","",INDEX(Wires!$A$2:$A$1000,N19))</f>
        <v/>
      </c>
      <c r="G19" s="12">
        <f>IF(N19="","",INDEX(Wires!$C$2:$C$1000,N19))</f>
        <v/>
      </c>
      <c r="H19" s="12">
        <f>IF(N19="","",IF(O19="from",INDEX(Wires!$F$2:$F$1000,N19)&amp;":"&amp;INDEX(Wires!$G$2:$G$1000,N19),INDEX(Wires!$D$2:$D$1000,N19)&amp;":"&amp;INDEX(Wires!$E$2:$E$1000,N19)))</f>
        <v/>
      </c>
      <c r="I19" s="12">
        <f>IF(N19="","",INDEX(Wires!$H$2:$H$1000,N19)&amp;"")</f>
        <v/>
      </c>
      <c r="J19" s="12">
        <f>IF(N19="","",IF(INDEX(Wires!$I$2:$I$1000,N19)="","",INDEX(Wires!$I$2:$I$1000,N19)))</f>
        <v/>
      </c>
      <c r="K19" s="12">
        <f>COUNTIF(Wires!$W$2:$W$1000,M19)+COUNTIF(Wires!$X$2:$X$1000,M19)</f>
        <v/>
      </c>
      <c r="L19" s="12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2">
        <f>A19&amp;":"&amp;B19&amp;IF(EXACT(B19,UPPER(B19)),"","|lc")</f>
        <v/>
      </c>
      <c r="N19" s="12">
        <f>IFERROR(MATCH(M19,Wires!$W$2:$W$1000,0),IFERROR(MATCH(M19,Wires!$X$2:$X$1000,0),""))</f>
        <v/>
      </c>
      <c r="O19" s="12">
        <f>IF(N19="","",IF(ISNUMBER(MATCH(M19,Wires!$W$2:$W$1000,0)),"from","to"))</f>
        <v/>
      </c>
    </row>
    <row r="20">
      <c r="A20" s="10" t="inlineStr">
        <is>
          <t>SIDEPANEL J1</t>
        </is>
      </c>
      <c r="B20" s="10" t="inlineStr">
        <is>
          <t>V</t>
        </is>
      </c>
      <c r="C20" s="10" t="inlineStr">
        <is>
          <t>BSPD S.</t>
        </is>
      </c>
      <c r="D20" s="10" t="inlineStr">
        <is>
          <t>OUT</t>
        </is>
      </c>
      <c r="E20" s="10" t="inlineStr">
        <is>
          <t>24V</t>
        </is>
      </c>
      <c r="F20" s="12">
        <f>IF(N20="","",INDEX(Wires!$A$2:$A$1000,N20))</f>
        <v/>
      </c>
      <c r="G20" s="12">
        <f>IF(N20="","",INDEX(Wires!$C$2:$C$1000,N20))</f>
        <v/>
      </c>
      <c r="H20" s="12">
        <f>IF(N20="","",IF(O20="from",INDEX(Wires!$F$2:$F$1000,N20)&amp;":"&amp;INDEX(Wires!$G$2:$G$1000,N20),INDEX(Wires!$D$2:$D$1000,N20)&amp;":"&amp;INDEX(Wires!$E$2:$E$1000,N20)))</f>
        <v/>
      </c>
      <c r="I20" s="12">
        <f>IF(N20="","",INDEX(Wires!$H$2:$H$1000,N20)&amp;"")</f>
        <v/>
      </c>
      <c r="J20" s="12">
        <f>IF(N20="","",IF(INDEX(Wires!$I$2:$I$1000,N20)="","",INDEX(Wires!$I$2:$I$1000,N20)))</f>
        <v/>
      </c>
      <c r="K20" s="12">
        <f>COUNTIF(Wires!$W$2:$W$1000,M20)+COUNTIF(Wires!$X$2:$X$1000,M20)</f>
        <v/>
      </c>
      <c r="L20" s="12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2">
        <f>A20&amp;":"&amp;B20&amp;IF(EXACT(B20,UPPER(B20)),"","|lc")</f>
        <v/>
      </c>
      <c r="N20" s="12">
        <f>IFERROR(MATCH(M20,Wires!$W$2:$W$1000,0),IFERROR(MATCH(M20,Wires!$X$2:$X$1000,0),""))</f>
        <v/>
      </c>
      <c r="O20" s="12">
        <f>IF(N20="","",IF(ISNUMBER(MATCH(M20,Wires!$W$2:$W$1000,0)),"from","to"))</f>
        <v/>
      </c>
    </row>
    <row r="21">
      <c r="A21" s="10" t="inlineStr">
        <is>
          <t>RESET</t>
        </is>
      </c>
      <c r="B21" s="10" t="inlineStr">
        <is>
          <t>1</t>
        </is>
      </c>
      <c r="C21" s="10" t="inlineStr">
        <is>
          <t>Reset IN</t>
        </is>
      </c>
      <c r="D21" s="10" t="inlineStr">
        <is>
          <t>IN</t>
        </is>
      </c>
      <c r="E21" s="10" t="inlineStr">
        <is>
          <t>0V</t>
        </is>
      </c>
      <c r="F21" s="12">
        <f>IF(N21="","",INDEX(Wires!$A$2:$A$1000,N21))</f>
        <v/>
      </c>
      <c r="G21" s="12">
        <f>IF(N21="","",INDEX(Wires!$C$2:$C$1000,N21))</f>
        <v/>
      </c>
      <c r="H21" s="12">
        <f>IF(N21="","",IF(O21="from",INDEX(Wires!$F$2:$F$1000,N21)&amp;":"&amp;INDEX(Wires!$G$2:$G$1000,N21),INDEX(Wires!$D$2:$D$1000,N21)&amp;":"&amp;INDEX(Wires!$E$2:$E$1000,N21)))</f>
        <v/>
      </c>
      <c r="I21" s="12">
        <f>IF(N21="","",INDEX(Wires!$H$2:$H$1000,N21)&amp;"")</f>
        <v/>
      </c>
      <c r="J21" s="12">
        <f>IF(N21="","",IF(INDEX(Wires!$I$2:$I$1000,N21)="","",INDEX(Wires!$I$2:$I$1000,N21)))</f>
        <v/>
      </c>
      <c r="K21" s="12">
        <f>COUNTIF(Wires!$W$2:$W$1000,M21)+COUNTIF(Wires!$X$2:$X$1000,M21)</f>
        <v/>
      </c>
      <c r="L21" s="12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2">
        <f>A21&amp;":"&amp;B21&amp;IF(EXACT(B21,UPPER(B21)),"","|lc")</f>
        <v/>
      </c>
      <c r="N21" s="12">
        <f>IFERROR(MATCH(M21,Wires!$W$2:$W$1000,0),IFERROR(MATCH(M21,Wires!$X$2:$X$1000,0),""))</f>
        <v/>
      </c>
      <c r="O21" s="12">
        <f>IF(N21="","",IF(ISNUMBER(MATCH(M21,Wires!$W$2:$W$1000,0)),"from","to"))</f>
        <v/>
      </c>
    </row>
    <row r="22">
      <c r="A22" s="10" t="inlineStr">
        <is>
          <t>RESET</t>
        </is>
      </c>
      <c r="B22" s="10" t="inlineStr">
        <is>
          <t>2</t>
        </is>
      </c>
      <c r="C22" s="10" t="inlineStr">
        <is>
          <t>Reset Out</t>
        </is>
      </c>
      <c r="D22" s="10" t="inlineStr">
        <is>
          <t>OUT</t>
        </is>
      </c>
      <c r="E22" s="10" t="inlineStr">
        <is>
          <t>0V</t>
        </is>
      </c>
      <c r="F22" s="12">
        <f>IF(N22="","",INDEX(Wires!$A$2:$A$1000,N22))</f>
        <v/>
      </c>
      <c r="G22" s="12">
        <f>IF(N22="","",INDEX(Wires!$C$2:$C$1000,N22))</f>
        <v/>
      </c>
      <c r="H22" s="12">
        <f>IF(N22="","",IF(O22="from",INDEX(Wires!$F$2:$F$1000,N22)&amp;":"&amp;INDEX(Wires!$G$2:$G$1000,N22),INDEX(Wires!$D$2:$D$1000,N22)&amp;":"&amp;INDEX(Wires!$E$2:$E$1000,N22)))</f>
        <v/>
      </c>
      <c r="I22" s="12">
        <f>IF(N22="","",INDEX(Wires!$H$2:$H$1000,N22)&amp;"")</f>
        <v/>
      </c>
      <c r="J22" s="12">
        <f>IF(N22="","",IF(INDEX(Wires!$I$2:$I$1000,N22)="","",INDEX(Wires!$I$2:$I$1000,N22)))</f>
        <v/>
      </c>
      <c r="K22" s="12">
        <f>COUNTIF(Wires!$W$2:$W$1000,M22)+COUNTIF(Wires!$X$2:$X$1000,M22)</f>
        <v/>
      </c>
      <c r="L22" s="12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2">
        <f>A22&amp;":"&amp;B22&amp;IF(EXACT(B22,UPPER(B22)),"","|lc")</f>
        <v/>
      </c>
      <c r="N22" s="12">
        <f>IFERROR(MATCH(M22,Wires!$W$2:$W$1000,0),IFERROR(MATCH(M22,Wires!$X$2:$X$1000,0),""))</f>
        <v/>
      </c>
      <c r="O22" s="12">
        <f>IF(N22="","",IF(ISNUMBER(MATCH(M22,Wires!$W$2:$W$1000,0)),"from","to"))</f>
        <v/>
      </c>
    </row>
    <row r="23">
      <c r="A23" s="10" t="inlineStr">
        <is>
          <t>M.S</t>
        </is>
      </c>
      <c r="B23" s="10" t="inlineStr">
        <is>
          <t>1</t>
        </is>
      </c>
      <c r="C23" s="10" t="inlineStr">
        <is>
          <t>M.S IN</t>
        </is>
      </c>
      <c r="D23" s="10" t="inlineStr">
        <is>
          <t>IN</t>
        </is>
      </c>
      <c r="E23" s="10" t="inlineStr">
        <is>
          <t>24V</t>
        </is>
      </c>
      <c r="F23" s="12">
        <f>IF(N23="","",INDEX(Wires!$A$2:$A$1000,N23))</f>
        <v/>
      </c>
      <c r="G23" s="12">
        <f>IF(N23="","",INDEX(Wires!$C$2:$C$1000,N23))</f>
        <v/>
      </c>
      <c r="H23" s="12">
        <f>IF(N23="","",IF(O23="from",INDEX(Wires!$F$2:$F$1000,N23)&amp;":"&amp;INDEX(Wires!$G$2:$G$1000,N23),INDEX(Wires!$D$2:$D$1000,N23)&amp;":"&amp;INDEX(Wires!$E$2:$E$1000,N23)))</f>
        <v/>
      </c>
      <c r="I23" s="12">
        <f>IF(N23="","",INDEX(Wires!$H$2:$H$1000,N23)&amp;"")</f>
        <v/>
      </c>
      <c r="J23" s="12">
        <f>IF(N23="","",IF(INDEX(Wires!$I$2:$I$1000,N23)="","",INDEX(Wires!$I$2:$I$1000,N23)))</f>
        <v/>
      </c>
      <c r="K23" s="12">
        <f>COUNTIF(Wires!$W$2:$W$1000,M23)+COUNTIF(Wires!$X$2:$X$1000,M23)</f>
        <v/>
      </c>
      <c r="L23" s="12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2">
        <f>A23&amp;":"&amp;B23&amp;IF(EXACT(B23,UPPER(B23)),"","|lc")</f>
        <v/>
      </c>
      <c r="N23" s="12">
        <f>IFERROR(MATCH(M23,Wires!$W$2:$W$1000,0),IFERROR(MATCH(M23,Wires!$X$2:$X$1000,0),""))</f>
        <v/>
      </c>
      <c r="O23" s="12">
        <f>IF(N23="","",IF(ISNUMBER(MATCH(M23,Wires!$W$2:$W$1000,0)),"from","to"))</f>
        <v/>
      </c>
    </row>
    <row r="24">
      <c r="A24" s="10" t="inlineStr">
        <is>
          <t>M.S</t>
        </is>
      </c>
      <c r="B24" s="10" t="inlineStr">
        <is>
          <t>2</t>
        </is>
      </c>
      <c r="C24" s="10" t="inlineStr">
        <is>
          <t>M.S Out</t>
        </is>
      </c>
      <c r="D24" s="10" t="inlineStr">
        <is>
          <t>OUT</t>
        </is>
      </c>
      <c r="E24" s="10" t="inlineStr">
        <is>
          <t>24V</t>
        </is>
      </c>
      <c r="F24" s="12">
        <f>IF(N24="","",INDEX(Wires!$A$2:$A$1000,N24))</f>
        <v/>
      </c>
      <c r="G24" s="12">
        <f>IF(N24="","",INDEX(Wires!$C$2:$C$1000,N24))</f>
        <v/>
      </c>
      <c r="H24" s="12">
        <f>IF(N24="","",IF(O24="from",INDEX(Wires!$F$2:$F$1000,N24)&amp;":"&amp;INDEX(Wires!$G$2:$G$1000,N24),INDEX(Wires!$D$2:$D$1000,N24)&amp;":"&amp;INDEX(Wires!$E$2:$E$1000,N24)))</f>
        <v/>
      </c>
      <c r="I24" s="12">
        <f>IF(N24="","",INDEX(Wires!$H$2:$H$1000,N24)&amp;"")</f>
        <v/>
      </c>
      <c r="J24" s="12">
        <f>IF(N24="","",IF(INDEX(Wires!$I$2:$I$1000,N24)="","",INDEX(Wires!$I$2:$I$1000,N24)))</f>
        <v/>
      </c>
      <c r="K24" s="12">
        <f>COUNTIF(Wires!$W$2:$W$1000,M24)+COUNTIF(Wires!$X$2:$X$1000,M24)</f>
        <v/>
      </c>
      <c r="L24" s="12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2">
        <f>A24&amp;":"&amp;B24&amp;IF(EXACT(B24,UPPER(B24)),"","|lc")</f>
        <v/>
      </c>
      <c r="N24" s="12">
        <f>IFERROR(MATCH(M24,Wires!$W$2:$W$1000,0),IFERROR(MATCH(M24,Wires!$X$2:$X$1000,0),""))</f>
        <v/>
      </c>
      <c r="O24" s="12">
        <f>IF(N24="","",IF(ISNUMBER(MATCH(M24,Wires!$W$2:$W$1000,0)),"from","to"))</f>
        <v/>
      </c>
    </row>
    <row r="25">
      <c r="A25" s="10" t="inlineStr">
        <is>
          <t>IGN A.</t>
        </is>
      </c>
      <c r="B25" s="10" t="inlineStr">
        <is>
          <t>1</t>
        </is>
      </c>
      <c r="C25" s="10" t="inlineStr">
        <is>
          <t>IGN In</t>
        </is>
      </c>
      <c r="D25" s="10" t="inlineStr">
        <is>
          <t>IN</t>
        </is>
      </c>
      <c r="E25" s="10" t="inlineStr">
        <is>
          <t>24V</t>
        </is>
      </c>
      <c r="F25" s="12">
        <f>IF(N25="","",INDEX(Wires!$A$2:$A$1000,N25))</f>
        <v/>
      </c>
      <c r="G25" s="12">
        <f>IF(N25="","",INDEX(Wires!$C$2:$C$1000,N25))</f>
        <v/>
      </c>
      <c r="H25" s="12">
        <f>IF(N25="","",IF(O25="from",INDEX(Wires!$F$2:$F$1000,N25)&amp;":"&amp;INDEX(Wires!$G$2:$G$1000,N25),INDEX(Wires!$D$2:$D$1000,N25)&amp;":"&amp;INDEX(Wires!$E$2:$E$1000,N25)))</f>
        <v/>
      </c>
      <c r="I25" s="12">
        <f>IF(N25="","",INDEX(Wires!$H$2:$H$1000,N25)&amp;"")</f>
        <v/>
      </c>
      <c r="J25" s="12">
        <f>IF(N25="","",IF(INDEX(Wires!$I$2:$I$1000,N25)="","",INDEX(Wires!$I$2:$I$1000,N25)))</f>
        <v/>
      </c>
      <c r="K25" s="12">
        <f>COUNTIF(Wires!$W$2:$W$1000,M25)+COUNTIF(Wires!$X$2:$X$1000,M25)</f>
        <v/>
      </c>
      <c r="L25" s="12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2">
        <f>A25&amp;":"&amp;B25&amp;IF(EXACT(B25,UPPER(B25)),"","|lc")</f>
        <v/>
      </c>
      <c r="N25" s="12">
        <f>IFERROR(MATCH(M25,Wires!$W$2:$W$1000,0),IFERROR(MATCH(M25,Wires!$X$2:$X$1000,0),""))</f>
        <v/>
      </c>
      <c r="O25" s="12">
        <f>IF(N25="","",IF(ISNUMBER(MATCH(M25,Wires!$W$2:$W$1000,0)),"from","to"))</f>
        <v/>
      </c>
    </row>
    <row r="26">
      <c r="A26" s="10" t="inlineStr">
        <is>
          <t>IGN A.</t>
        </is>
      </c>
      <c r="B26" s="10" t="inlineStr">
        <is>
          <t>2</t>
        </is>
      </c>
      <c r="C26" s="10" t="inlineStr">
        <is>
          <t>IGN Out</t>
        </is>
      </c>
      <c r="D26" s="10" t="inlineStr">
        <is>
          <t>OUT</t>
        </is>
      </c>
      <c r="E26" s="10" t="inlineStr">
        <is>
          <t>24V</t>
        </is>
      </c>
      <c r="F26" s="12">
        <f>IF(N26="","",INDEX(Wires!$A$2:$A$1000,N26))</f>
        <v/>
      </c>
      <c r="G26" s="12">
        <f>IF(N26="","",INDEX(Wires!$C$2:$C$1000,N26))</f>
        <v/>
      </c>
      <c r="H26" s="12">
        <f>IF(N26="","",IF(O26="from",INDEX(Wires!$F$2:$F$1000,N26)&amp;":"&amp;INDEX(Wires!$G$2:$G$1000,N26),INDEX(Wires!$D$2:$D$1000,N26)&amp;":"&amp;INDEX(Wires!$E$2:$E$1000,N26)))</f>
        <v/>
      </c>
      <c r="I26" s="12">
        <f>IF(N26="","",INDEX(Wires!$H$2:$H$1000,N26)&amp;"")</f>
        <v/>
      </c>
      <c r="J26" s="12">
        <f>IF(N26="","",IF(INDEX(Wires!$I$2:$I$1000,N26)="","",INDEX(Wires!$I$2:$I$1000,N26)))</f>
        <v/>
      </c>
      <c r="K26" s="12">
        <f>COUNTIF(Wires!$W$2:$W$1000,M26)+COUNTIF(Wires!$X$2:$X$1000,M26)</f>
        <v/>
      </c>
      <c r="L26" s="12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2">
        <f>A26&amp;":"&amp;B26&amp;IF(EXACT(B26,UPPER(B26)),"","|lc")</f>
        <v/>
      </c>
      <c r="N26" s="12">
        <f>IFERROR(MATCH(M26,Wires!$W$2:$W$1000,0),IFERROR(MATCH(M26,Wires!$X$2:$X$1000,0),""))</f>
        <v/>
      </c>
      <c r="O26" s="12">
        <f>IF(N26="","",IF(ISNUMBER(MATCH(M26,Wires!$W$2:$W$1000,0)),"from","to"))</f>
        <v/>
      </c>
    </row>
    <row r="27">
      <c r="A27" s="10" t="inlineStr">
        <is>
          <t>RACE S.</t>
        </is>
      </c>
      <c r="B27" s="10" t="inlineStr">
        <is>
          <t>1</t>
        </is>
      </c>
      <c r="C27" s="10" t="inlineStr">
        <is>
          <t>Race In</t>
        </is>
      </c>
      <c r="D27" s="10" t="inlineStr">
        <is>
          <t>IN</t>
        </is>
      </c>
      <c r="E27" s="10" t="n"/>
      <c r="F27" s="12">
        <f>IF(N27="","",INDEX(Wires!$A$2:$A$1000,N27))</f>
        <v/>
      </c>
      <c r="G27" s="12">
        <f>IF(N27="","",INDEX(Wires!$C$2:$C$1000,N27))</f>
        <v/>
      </c>
      <c r="H27" s="12">
        <f>IF(N27="","",IF(O27="from",INDEX(Wires!$F$2:$F$1000,N27)&amp;":"&amp;INDEX(Wires!$G$2:$G$1000,N27),INDEX(Wires!$D$2:$D$1000,N27)&amp;":"&amp;INDEX(Wires!$E$2:$E$1000,N27)))</f>
        <v/>
      </c>
      <c r="I27" s="12">
        <f>IF(N27="","",INDEX(Wires!$H$2:$H$1000,N27)&amp;"")</f>
        <v/>
      </c>
      <c r="J27" s="12">
        <f>IF(N27="","",IF(INDEX(Wires!$I$2:$I$1000,N27)="","",INDEX(Wires!$I$2:$I$1000,N27)))</f>
        <v/>
      </c>
      <c r="K27" s="12">
        <f>COUNTIF(Wires!$W$2:$W$1000,M27)+COUNTIF(Wires!$X$2:$X$1000,M27)</f>
        <v/>
      </c>
      <c r="L27" s="12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2">
        <f>A27&amp;":"&amp;B27&amp;IF(EXACT(B27,UPPER(B27)),"","|lc")</f>
        <v/>
      </c>
      <c r="N27" s="12">
        <f>IFERROR(MATCH(M27,Wires!$W$2:$W$1000,0),IFERROR(MATCH(M27,Wires!$X$2:$X$1000,0),""))</f>
        <v/>
      </c>
      <c r="O27" s="12">
        <f>IF(N27="","",IF(ISNUMBER(MATCH(M27,Wires!$W$2:$W$1000,0)),"from","to"))</f>
        <v/>
      </c>
    </row>
    <row r="28">
      <c r="A28" s="10" t="inlineStr">
        <is>
          <t>RACE S.</t>
        </is>
      </c>
      <c r="B28" s="10" t="inlineStr">
        <is>
          <t>2</t>
        </is>
      </c>
      <c r="C28" s="10" t="inlineStr">
        <is>
          <t>Race Out</t>
        </is>
      </c>
      <c r="D28" s="10" t="inlineStr">
        <is>
          <t>OUT</t>
        </is>
      </c>
      <c r="E28" s="10" t="n"/>
      <c r="F28" s="12">
        <f>IF(N28="","",INDEX(Wires!$A$2:$A$1000,N28))</f>
        <v/>
      </c>
      <c r="G28" s="12">
        <f>IF(N28="","",INDEX(Wires!$C$2:$C$1000,N28))</f>
        <v/>
      </c>
      <c r="H28" s="12">
        <f>IF(N28="","",IF(O28="from",INDEX(Wires!$F$2:$F$1000,N28)&amp;":"&amp;INDEX(Wires!$G$2:$G$1000,N28),INDEX(Wires!$D$2:$D$1000,N28)&amp;":"&amp;INDEX(Wires!$E$2:$E$1000,N28)))</f>
        <v/>
      </c>
      <c r="I28" s="12">
        <f>IF(N28="","",INDEX(Wires!$H$2:$H$1000,N28)&amp;"")</f>
        <v/>
      </c>
      <c r="J28" s="12">
        <f>IF(N28="","",IF(INDEX(Wires!$I$2:$I$1000,N28)="","",INDEX(Wires!$I$2:$I$1000,N28)))</f>
        <v/>
      </c>
      <c r="K28" s="12">
        <f>COUNTIF(Wires!$W$2:$W$1000,M28)+COUNTIF(Wires!$X$2:$X$1000,M28)</f>
        <v/>
      </c>
      <c r="L28" s="12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2">
        <f>A28&amp;":"&amp;B28&amp;IF(EXACT(B28,UPPER(B28)),"","|lc")</f>
        <v/>
      </c>
      <c r="N28" s="12">
        <f>IFERROR(MATCH(M28,Wires!$W$2:$W$1000,0),IFERROR(MATCH(M28,Wires!$X$2:$X$1000,0),""))</f>
        <v/>
      </c>
      <c r="O28" s="12">
        <f>IF(N28="","",IF(ISNUMBER(MATCH(M28,Wires!$W$2:$W$1000,0)),"from","to"))</f>
        <v/>
      </c>
    </row>
    <row r="29">
      <c r="A29" s="10" t="inlineStr">
        <is>
          <t>LVMS</t>
        </is>
      </c>
      <c r="B29" s="10" t="inlineStr">
        <is>
          <t>1</t>
        </is>
      </c>
      <c r="C29" s="10" t="n"/>
      <c r="D29" s="10" t="inlineStr">
        <is>
          <t>IN</t>
        </is>
      </c>
      <c r="E29" s="10" t="inlineStr">
        <is>
          <t>24V</t>
        </is>
      </c>
      <c r="F29" s="12">
        <f>IF(N29="","",INDEX(Wires!$A$2:$A$1000,N29))</f>
        <v/>
      </c>
      <c r="G29" s="12">
        <f>IF(N29="","",INDEX(Wires!$C$2:$C$1000,N29))</f>
        <v/>
      </c>
      <c r="H29" s="12">
        <f>IF(N29="","",IF(O29="from",INDEX(Wires!$F$2:$F$1000,N29)&amp;":"&amp;INDEX(Wires!$G$2:$G$1000,N29),INDEX(Wires!$D$2:$D$1000,N29)&amp;":"&amp;INDEX(Wires!$E$2:$E$1000,N29)))</f>
        <v/>
      </c>
      <c r="I29" s="12">
        <f>IF(N29="","",INDEX(Wires!$H$2:$H$1000,N29)&amp;"")</f>
        <v/>
      </c>
      <c r="J29" s="12">
        <f>IF(N29="","",IF(INDEX(Wires!$I$2:$I$1000,N29)="","",INDEX(Wires!$I$2:$I$1000,N29)))</f>
        <v/>
      </c>
      <c r="K29" s="12">
        <f>COUNTIF(Wires!$W$2:$W$1000,M29)+COUNTIF(Wires!$X$2:$X$1000,M29)</f>
        <v/>
      </c>
      <c r="L29" s="12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2">
        <f>A29&amp;":"&amp;B29&amp;IF(EXACT(B29,UPPER(B29)),"","|lc")</f>
        <v/>
      </c>
      <c r="N29" s="12">
        <f>IFERROR(MATCH(M29,Wires!$W$2:$W$1000,0),IFERROR(MATCH(M29,Wires!$X$2:$X$1000,0),""))</f>
        <v/>
      </c>
      <c r="O29" s="12">
        <f>IF(N29="","",IF(ISNUMBER(MATCH(M29,Wires!$W$2:$W$1000,0)),"from","to"))</f>
        <v/>
      </c>
    </row>
    <row r="30">
      <c r="A30" s="10" t="inlineStr">
        <is>
          <t>LVMS</t>
        </is>
      </c>
      <c r="B30" s="10" t="inlineStr">
        <is>
          <t>2</t>
        </is>
      </c>
      <c r="C30" s="10" t="inlineStr">
        <is>
          <t>LVMS Out</t>
        </is>
      </c>
      <c r="D30" s="10" t="inlineStr">
        <is>
          <t>OUT</t>
        </is>
      </c>
      <c r="E30" s="10" t="inlineStr">
        <is>
          <t>24V</t>
        </is>
      </c>
      <c r="F30" s="12">
        <f>IF(N30="","",INDEX(Wires!$A$2:$A$1000,N30))</f>
        <v/>
      </c>
      <c r="G30" s="12">
        <f>IF(N30="","",INDEX(Wires!$C$2:$C$1000,N30))</f>
        <v/>
      </c>
      <c r="H30" s="12">
        <f>IF(N30="","",IF(O30="from",INDEX(Wires!$F$2:$F$1000,N30)&amp;":"&amp;INDEX(Wires!$G$2:$G$1000,N30),INDEX(Wires!$D$2:$D$1000,N30)&amp;":"&amp;INDEX(Wires!$E$2:$E$1000,N30)))</f>
        <v/>
      </c>
      <c r="I30" s="12">
        <f>IF(N30="","",INDEX(Wires!$H$2:$H$1000,N30)&amp;"")</f>
        <v/>
      </c>
      <c r="J30" s="12">
        <f>IF(N30="","",IF(INDEX(Wires!$I$2:$I$1000,N30)="","",INDEX(Wires!$I$2:$I$1000,N30)))</f>
        <v/>
      </c>
      <c r="K30" s="12">
        <f>COUNTIF(Wires!$W$2:$W$1000,M30)+COUNTIF(Wires!$X$2:$X$1000,M30)</f>
        <v/>
      </c>
      <c r="L30" s="12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2">
        <f>A30&amp;":"&amp;B30&amp;IF(EXACT(B30,UPPER(B30)),"","|lc")</f>
        <v/>
      </c>
      <c r="N30" s="12">
        <f>IFERROR(MATCH(M30,Wires!$W$2:$W$1000,0),IFERROR(MATCH(M30,Wires!$X$2:$X$1000,0),""))</f>
        <v/>
      </c>
      <c r="O30" s="12">
        <f>IF(N30="","",IF(ISNUMBER(MATCH(M30,Wires!$W$2:$W$1000,0)),"from","to"))</f>
        <v/>
      </c>
    </row>
    <row r="31">
      <c r="A31" s="10" t="inlineStr">
        <is>
          <t>ASMS</t>
        </is>
      </c>
      <c r="B31" s="10" t="inlineStr">
        <is>
          <t>1</t>
        </is>
      </c>
      <c r="C31" s="10" t="inlineStr">
        <is>
          <t>ASMS In</t>
        </is>
      </c>
      <c r="D31" s="10" t="inlineStr">
        <is>
          <t>IN</t>
        </is>
      </c>
      <c r="E31" s="10" t="inlineStr">
        <is>
          <t>24V</t>
        </is>
      </c>
      <c r="F31" s="12">
        <f>IF(N31="","",INDEX(Wires!$A$2:$A$1000,N31))</f>
        <v/>
      </c>
      <c r="G31" s="12">
        <f>IF(N31="","",INDEX(Wires!$C$2:$C$1000,N31))</f>
        <v/>
      </c>
      <c r="H31" s="12">
        <f>IF(N31="","",IF(O31="from",INDEX(Wires!$F$2:$F$1000,N31)&amp;":"&amp;INDEX(Wires!$G$2:$G$1000,N31),INDEX(Wires!$D$2:$D$1000,N31)&amp;":"&amp;INDEX(Wires!$E$2:$E$1000,N31)))</f>
        <v/>
      </c>
      <c r="I31" s="12">
        <f>IF(N31="","",INDEX(Wires!$H$2:$H$1000,N31)&amp;"")</f>
        <v/>
      </c>
      <c r="J31" s="12">
        <f>IF(N31="","",IF(INDEX(Wires!$I$2:$I$1000,N31)="","",INDEX(Wires!$I$2:$I$1000,N31)))</f>
        <v/>
      </c>
      <c r="K31" s="12">
        <f>COUNTIF(Wires!$W$2:$W$1000,M31)+COUNTIF(Wires!$X$2:$X$1000,M31)</f>
        <v/>
      </c>
      <c r="L31" s="12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2">
        <f>A31&amp;":"&amp;B31&amp;IF(EXACT(B31,UPPER(B31)),"","|lc")</f>
        <v/>
      </c>
      <c r="N31" s="12">
        <f>IFERROR(MATCH(M31,Wires!$W$2:$W$1000,0),IFERROR(MATCH(M31,Wires!$X$2:$X$1000,0),""))</f>
        <v/>
      </c>
      <c r="O31" s="12">
        <f>IF(N31="","",IF(ISNUMBER(MATCH(M31,Wires!$W$2:$W$1000,0)),"from","to"))</f>
        <v/>
      </c>
    </row>
    <row r="32">
      <c r="A32" s="10" t="inlineStr">
        <is>
          <t>ASMS</t>
        </is>
      </c>
      <c r="B32" s="10" t="inlineStr">
        <is>
          <t>2</t>
        </is>
      </c>
      <c r="C32" s="10" t="inlineStr">
        <is>
          <t>ASMS Out</t>
        </is>
      </c>
      <c r="D32" s="10" t="inlineStr">
        <is>
          <t>OUT</t>
        </is>
      </c>
      <c r="E32" s="10" t="inlineStr">
        <is>
          <t>24V</t>
        </is>
      </c>
      <c r="F32" s="12">
        <f>IF(N32="","",INDEX(Wires!$A$2:$A$1000,N32))</f>
        <v/>
      </c>
      <c r="G32" s="12">
        <f>IF(N32="","",INDEX(Wires!$C$2:$C$1000,N32))</f>
        <v/>
      </c>
      <c r="H32" s="12">
        <f>IF(N32="","",IF(O32="from",INDEX(Wires!$F$2:$F$1000,N32)&amp;":"&amp;INDEX(Wires!$G$2:$G$1000,N32),INDEX(Wires!$D$2:$D$1000,N32)&amp;":"&amp;INDEX(Wires!$E$2:$E$1000,N32)))</f>
        <v/>
      </c>
      <c r="I32" s="12">
        <f>IF(N32="","",INDEX(Wires!$H$2:$H$1000,N32)&amp;"")</f>
        <v/>
      </c>
      <c r="J32" s="12">
        <f>IF(N32="","",IF(INDEX(Wires!$I$2:$I$1000,N32)="","",INDEX(Wires!$I$2:$I$1000,N32)))</f>
        <v/>
      </c>
      <c r="K32" s="12">
        <f>COUNTIF(Wires!$W$2:$W$1000,M32)+COUNTIF(Wires!$X$2:$X$1000,M32)</f>
        <v/>
      </c>
      <c r="L32" s="12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2">
        <f>A32&amp;":"&amp;B32&amp;IF(EXACT(B32,UPPER(B32)),"","|lc")</f>
        <v/>
      </c>
      <c r="N32" s="12">
        <f>IFERROR(MATCH(M32,Wires!$W$2:$W$1000,0),IFERROR(MATCH(M32,Wires!$X$2:$X$1000,0),""))</f>
        <v/>
      </c>
      <c r="O32" s="12">
        <f>IF(N32="","",IF(ISNUMBER(MATCH(M32,Wires!$W$2:$W$1000,0)),"from","to"))</f>
        <v/>
      </c>
    </row>
    <row r="33">
      <c r="A33" s="10" t="inlineStr">
        <is>
          <t>TSMS</t>
        </is>
      </c>
      <c r="B33" s="10" t="inlineStr">
        <is>
          <t>1</t>
        </is>
      </c>
      <c r="C33" s="10" t="inlineStr">
        <is>
          <t>SDC In</t>
        </is>
      </c>
      <c r="D33" s="10" t="inlineStr">
        <is>
          <t>IN</t>
        </is>
      </c>
      <c r="E33" s="10" t="inlineStr">
        <is>
          <t>24V</t>
        </is>
      </c>
      <c r="F33" s="12">
        <f>IF(N33="","",INDEX(Wires!$A$2:$A$1000,N33))</f>
        <v/>
      </c>
      <c r="G33" s="12">
        <f>IF(N33="","",INDEX(Wires!$C$2:$C$1000,N33))</f>
        <v/>
      </c>
      <c r="H33" s="12">
        <f>IF(N33="","",IF(O33="from",INDEX(Wires!$F$2:$F$1000,N33)&amp;":"&amp;INDEX(Wires!$G$2:$G$1000,N33),INDEX(Wires!$D$2:$D$1000,N33)&amp;":"&amp;INDEX(Wires!$E$2:$E$1000,N33)))</f>
        <v/>
      </c>
      <c r="I33" s="12">
        <f>IF(N33="","",INDEX(Wires!$H$2:$H$1000,N33)&amp;"")</f>
        <v/>
      </c>
      <c r="J33" s="12">
        <f>IF(N33="","",IF(INDEX(Wires!$I$2:$I$1000,N33)="","",INDEX(Wires!$I$2:$I$1000,N33)))</f>
        <v/>
      </c>
      <c r="K33" s="12">
        <f>COUNTIF(Wires!$W$2:$W$1000,M33)+COUNTIF(Wires!$X$2:$X$1000,M33)</f>
        <v/>
      </c>
      <c r="L33" s="12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2">
        <f>A33&amp;":"&amp;B33&amp;IF(EXACT(B33,UPPER(B33)),"","|lc")</f>
        <v/>
      </c>
      <c r="N33" s="12">
        <f>IFERROR(MATCH(M33,Wires!$W$2:$W$1000,0),IFERROR(MATCH(M33,Wires!$X$2:$X$1000,0),""))</f>
        <v/>
      </c>
      <c r="O33" s="12">
        <f>IF(N33="","",IF(ISNUMBER(MATCH(M33,Wires!$W$2:$W$1000,0)),"from","to"))</f>
        <v/>
      </c>
    </row>
    <row r="34">
      <c r="A34" s="10" t="inlineStr">
        <is>
          <t>TSMS</t>
        </is>
      </c>
      <c r="B34" s="10" t="inlineStr">
        <is>
          <t>2</t>
        </is>
      </c>
      <c r="C34" s="10" t="inlineStr">
        <is>
          <t>SDC Out</t>
        </is>
      </c>
      <c r="D34" s="10" t="inlineStr">
        <is>
          <t>OUT</t>
        </is>
      </c>
      <c r="E34" s="10" t="inlineStr">
        <is>
          <t>24V</t>
        </is>
      </c>
      <c r="F34" s="12">
        <f>IF(N34="","",INDEX(Wires!$A$2:$A$1000,N34))</f>
        <v/>
      </c>
      <c r="G34" s="12">
        <f>IF(N34="","",INDEX(Wires!$C$2:$C$1000,N34))</f>
        <v/>
      </c>
      <c r="H34" s="12">
        <f>IF(N34="","",IF(O34="from",INDEX(Wires!$F$2:$F$1000,N34)&amp;":"&amp;INDEX(Wires!$G$2:$G$1000,N34),INDEX(Wires!$D$2:$D$1000,N34)&amp;":"&amp;INDEX(Wires!$E$2:$E$1000,N34)))</f>
        <v/>
      </c>
      <c r="I34" s="12">
        <f>IF(N34="","",INDEX(Wires!$H$2:$H$1000,N34)&amp;"")</f>
        <v/>
      </c>
      <c r="J34" s="12">
        <f>IF(N34="","",IF(INDEX(Wires!$I$2:$I$1000,N34)="","",INDEX(Wires!$I$2:$I$1000,N34)))</f>
        <v/>
      </c>
      <c r="K34" s="12">
        <f>COUNTIF(Wires!$W$2:$W$1000,M34)+COUNTIF(Wires!$X$2:$X$1000,M34)</f>
        <v/>
      </c>
      <c r="L34" s="12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2">
        <f>A34&amp;":"&amp;B34&amp;IF(EXACT(B34,UPPER(B34)),"","|lc")</f>
        <v/>
      </c>
      <c r="N34" s="12">
        <f>IFERROR(MATCH(M34,Wires!$W$2:$W$1000,0),IFERROR(MATCH(M34,Wires!$X$2:$X$1000,0),""))</f>
        <v/>
      </c>
      <c r="O34" s="12">
        <f>IF(N34="","",IF(ISNUMBER(MATCH(M34,Wires!$W$2:$W$1000,0)),"from","to"))</f>
        <v/>
      </c>
    </row>
    <row r="35">
      <c r="A35" s="10" t="inlineStr">
        <is>
          <t>TS + BJ</t>
        </is>
      </c>
      <c r="B35" s="10" t="inlineStr">
        <is>
          <t>1</t>
        </is>
      </c>
      <c r="C35" s="10" t="n"/>
      <c r="D35" s="10" t="n"/>
      <c r="E35" s="10" t="n"/>
      <c r="F35" s="12">
        <f>IF(N35="","",INDEX(Wires!$A$2:$A$1000,N35))</f>
        <v/>
      </c>
      <c r="G35" s="12">
        <f>IF(N35="","",INDEX(Wires!$C$2:$C$1000,N35))</f>
        <v/>
      </c>
      <c r="H35" s="12">
        <f>IF(N35="","",IF(O35="from",INDEX(Wires!$F$2:$F$1000,N35)&amp;":"&amp;INDEX(Wires!$G$2:$G$1000,N35),INDEX(Wires!$D$2:$D$1000,N35)&amp;":"&amp;INDEX(Wires!$E$2:$E$1000,N35)))</f>
        <v/>
      </c>
      <c r="I35" s="12">
        <f>IF(N35="","",INDEX(Wires!$H$2:$H$1000,N35)&amp;"")</f>
        <v/>
      </c>
      <c r="J35" s="12">
        <f>IF(N35="","",IF(INDEX(Wires!$I$2:$I$1000,N35)="","",INDEX(Wires!$I$2:$I$1000,N35)))</f>
        <v/>
      </c>
      <c r="K35" s="12">
        <f>COUNTIF(Wires!$W$2:$W$1000,M35)+COUNTIF(Wires!$X$2:$X$1000,M35)</f>
        <v/>
      </c>
      <c r="L35" s="12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2">
        <f>A35&amp;":"&amp;B35&amp;IF(EXACT(B35,UPPER(B35)),"","|lc")</f>
        <v/>
      </c>
      <c r="N35" s="12">
        <f>IFERROR(MATCH(M35,Wires!$W$2:$W$1000,0),IFERROR(MATCH(M35,Wires!$X$2:$X$1000,0),""))</f>
        <v/>
      </c>
      <c r="O35" s="12">
        <f>IF(N35="","",IF(ISNUMBER(MATCH(M35,Wires!$W$2:$W$1000,0)),"from","to"))</f>
        <v/>
      </c>
    </row>
    <row r="36">
      <c r="A36" s="10" t="inlineStr">
        <is>
          <t>TS - BJ</t>
        </is>
      </c>
      <c r="B36" s="10" t="inlineStr">
        <is>
          <t>1</t>
        </is>
      </c>
      <c r="C36" s="10" t="n"/>
      <c r="D36" s="10" t="n"/>
      <c r="E36" s="10" t="n"/>
      <c r="F36" s="12">
        <f>IF(N36="","",INDEX(Wires!$A$2:$A$1000,N36))</f>
        <v/>
      </c>
      <c r="G36" s="12">
        <f>IF(N36="","",INDEX(Wires!$C$2:$C$1000,N36))</f>
        <v/>
      </c>
      <c r="H36" s="12">
        <f>IF(N36="","",IF(O36="from",INDEX(Wires!$F$2:$F$1000,N36)&amp;":"&amp;INDEX(Wires!$G$2:$G$1000,N36),INDEX(Wires!$D$2:$D$1000,N36)&amp;":"&amp;INDEX(Wires!$E$2:$E$1000,N36)))</f>
        <v/>
      </c>
      <c r="I36" s="12">
        <f>IF(N36="","",INDEX(Wires!$H$2:$H$1000,N36)&amp;"")</f>
        <v/>
      </c>
      <c r="J36" s="12">
        <f>IF(N36="","",IF(INDEX(Wires!$I$2:$I$1000,N36)="","",INDEX(Wires!$I$2:$I$1000,N36)))</f>
        <v/>
      </c>
      <c r="K36" s="12">
        <f>COUNTIF(Wires!$W$2:$W$1000,M36)+COUNTIF(Wires!$X$2:$X$1000,M36)</f>
        <v/>
      </c>
      <c r="L36" s="12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2">
        <f>A36&amp;":"&amp;B36&amp;IF(EXACT(B36,UPPER(B36)),"","|lc")</f>
        <v/>
      </c>
      <c r="N36" s="12">
        <f>IFERROR(MATCH(M36,Wires!$W$2:$W$1000,0),IFERROR(MATCH(M36,Wires!$X$2:$X$1000,0),""))</f>
        <v/>
      </c>
      <c r="O36" s="12">
        <f>IF(N36="","",IF(ISNUMBER(MATCH(M36,Wires!$W$2:$W$1000,0)),"from","to"))</f>
        <v/>
      </c>
    </row>
    <row r="37">
      <c r="A37" s="10" t="inlineStr">
        <is>
          <t>+24V BJ</t>
        </is>
      </c>
      <c r="B37" s="10" t="inlineStr">
        <is>
          <t>1</t>
        </is>
      </c>
      <c r="C37" s="10" t="n"/>
      <c r="D37" s="10" t="inlineStr">
        <is>
          <t>OUT</t>
        </is>
      </c>
      <c r="E37" s="10" t="inlineStr">
        <is>
          <t>24V</t>
        </is>
      </c>
      <c r="F37" s="12">
        <f>IF(N37="","",INDEX(Wires!$A$2:$A$1000,N37))</f>
        <v/>
      </c>
      <c r="G37" s="12">
        <f>IF(N37="","",INDEX(Wires!$C$2:$C$1000,N37))</f>
        <v/>
      </c>
      <c r="H37" s="12">
        <f>IF(N37="","",IF(O37="from",INDEX(Wires!$F$2:$F$1000,N37)&amp;":"&amp;INDEX(Wires!$G$2:$G$1000,N37),INDEX(Wires!$D$2:$D$1000,N37)&amp;":"&amp;INDEX(Wires!$E$2:$E$1000,N37)))</f>
        <v/>
      </c>
      <c r="I37" s="12">
        <f>IF(N37="","",INDEX(Wires!$H$2:$H$1000,N37)&amp;"")</f>
        <v/>
      </c>
      <c r="J37" s="12">
        <f>IF(N37="","",IF(INDEX(Wires!$I$2:$I$1000,N37)="","",INDEX(Wires!$I$2:$I$1000,N37)))</f>
        <v/>
      </c>
      <c r="K37" s="12">
        <f>COUNTIF(Wires!$W$2:$W$1000,M37)+COUNTIF(Wires!$X$2:$X$1000,M37)</f>
        <v/>
      </c>
      <c r="L37" s="12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2">
        <f>A37&amp;":"&amp;B37&amp;IF(EXACT(B37,UPPER(B37)),"","|lc")</f>
        <v/>
      </c>
      <c r="N37" s="12">
        <f>IFERROR(MATCH(M37,Wires!$W$2:$W$1000,0),IFERROR(MATCH(M37,Wires!$X$2:$X$1000,0),""))</f>
        <v/>
      </c>
      <c r="O37" s="12">
        <f>IF(N37="","",IF(ISNUMBER(MATCH(M37,Wires!$W$2:$W$1000,0)),"from","to"))</f>
        <v/>
      </c>
    </row>
    <row r="38">
      <c r="A38" s="10" t="inlineStr">
        <is>
          <t>GND BJ</t>
        </is>
      </c>
      <c r="B38" s="10" t="inlineStr">
        <is>
          <t>1</t>
        </is>
      </c>
      <c r="C38" s="10" t="n"/>
      <c r="D38" s="10" t="inlineStr">
        <is>
          <t>IN</t>
        </is>
      </c>
      <c r="E38" s="10" t="inlineStr">
        <is>
          <t>0V</t>
        </is>
      </c>
      <c r="F38" s="12">
        <f>IF(N38="","",INDEX(Wires!$A$2:$A$1000,N38))</f>
        <v/>
      </c>
      <c r="G38" s="12">
        <f>IF(N38="","",INDEX(Wires!$C$2:$C$1000,N38))</f>
        <v/>
      </c>
      <c r="H38" s="12">
        <f>IF(N38="","",IF(O38="from",INDEX(Wires!$F$2:$F$1000,N38)&amp;":"&amp;INDEX(Wires!$G$2:$G$1000,N38),INDEX(Wires!$D$2:$D$1000,N38)&amp;":"&amp;INDEX(Wires!$E$2:$E$1000,N38)))</f>
        <v/>
      </c>
      <c r="I38" s="12">
        <f>IF(N38="","",INDEX(Wires!$H$2:$H$1000,N38)&amp;"")</f>
        <v/>
      </c>
      <c r="J38" s="12">
        <f>IF(N38="","",IF(INDEX(Wires!$I$2:$I$1000,N38)="","",INDEX(Wires!$I$2:$I$1000,N38)))</f>
        <v/>
      </c>
      <c r="K38" s="12">
        <f>COUNTIF(Wires!$W$2:$W$1000,M38)+COUNTIF(Wires!$X$2:$X$1000,M38)</f>
        <v/>
      </c>
      <c r="L38" s="12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2">
        <f>A38&amp;":"&amp;B38&amp;IF(EXACT(B38,UPPER(B38)),"","|lc")</f>
        <v/>
      </c>
      <c r="N38" s="12">
        <f>IFERROR(MATCH(M38,Wires!$W$2:$W$1000,0),IFERROR(MATCH(M38,Wires!$X$2:$X$1000,0),""))</f>
        <v/>
      </c>
      <c r="O38" s="12">
        <f>IF(N38="","",IF(ISNUMBER(MATCH(M38,Wires!$W$2:$W$1000,0)),"from","to"))</f>
        <v/>
      </c>
    </row>
    <row r="39">
      <c r="A39" s="10" t="inlineStr">
        <is>
          <t>FUSE 1</t>
        </is>
      </c>
      <c r="B39" s="10" t="inlineStr">
        <is>
          <t>1</t>
        </is>
      </c>
      <c r="C39" s="10" t="n"/>
      <c r="D39" s="10" t="inlineStr">
        <is>
          <t>IN</t>
        </is>
      </c>
      <c r="E39" s="10" t="inlineStr">
        <is>
          <t>24V</t>
        </is>
      </c>
      <c r="F39" s="12">
        <f>IF(N39="","",INDEX(Wires!$A$2:$A$1000,N39))</f>
        <v/>
      </c>
      <c r="G39" s="12">
        <f>IF(N39="","",INDEX(Wires!$C$2:$C$1000,N39))</f>
        <v/>
      </c>
      <c r="H39" s="12">
        <f>IF(N39="","",IF(O39="from",INDEX(Wires!$F$2:$F$1000,N39)&amp;":"&amp;INDEX(Wires!$G$2:$G$1000,N39),INDEX(Wires!$D$2:$D$1000,N39)&amp;":"&amp;INDEX(Wires!$E$2:$E$1000,N39)))</f>
        <v/>
      </c>
      <c r="I39" s="12">
        <f>IF(N39="","",INDEX(Wires!$H$2:$H$1000,N39)&amp;"")</f>
        <v/>
      </c>
      <c r="J39" s="12">
        <f>IF(N39="","",IF(INDEX(Wires!$I$2:$I$1000,N39)="","",INDEX(Wires!$I$2:$I$1000,N39)))</f>
        <v/>
      </c>
      <c r="K39" s="12">
        <f>COUNTIF(Wires!$W$2:$W$1000,M39)+COUNTIF(Wires!$X$2:$X$1000,M39)</f>
        <v/>
      </c>
      <c r="L39" s="12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2">
        <f>A39&amp;":"&amp;B39&amp;IF(EXACT(B39,UPPER(B39)),"","|lc")</f>
        <v/>
      </c>
      <c r="N39" s="12">
        <f>IFERROR(MATCH(M39,Wires!$W$2:$W$1000,0),IFERROR(MATCH(M39,Wires!$X$2:$X$1000,0),""))</f>
        <v/>
      </c>
      <c r="O39" s="12">
        <f>IF(N39="","",IF(ISNUMBER(MATCH(M39,Wires!$W$2:$W$1000,0)),"from","to"))</f>
        <v/>
      </c>
    </row>
    <row r="40">
      <c r="A40" s="10" t="inlineStr">
        <is>
          <t>FUSE 1</t>
        </is>
      </c>
      <c r="B40" s="10" t="inlineStr">
        <is>
          <t>2</t>
        </is>
      </c>
      <c r="C40" s="10" t="n"/>
      <c r="D40" s="10" t="inlineStr">
        <is>
          <t>OUT</t>
        </is>
      </c>
      <c r="E40" s="10" t="inlineStr">
        <is>
          <t>24V</t>
        </is>
      </c>
      <c r="F40" s="12">
        <f>IF(N40="","",INDEX(Wires!$A$2:$A$1000,N40))</f>
        <v/>
      </c>
      <c r="G40" s="12">
        <f>IF(N40="","",INDEX(Wires!$C$2:$C$1000,N40))</f>
        <v/>
      </c>
      <c r="H40" s="12">
        <f>IF(N40="","",IF(O40="from",INDEX(Wires!$F$2:$F$1000,N40)&amp;":"&amp;INDEX(Wires!$G$2:$G$1000,N40),INDEX(Wires!$D$2:$D$1000,N40)&amp;":"&amp;INDEX(Wires!$E$2:$E$1000,N40)))</f>
        <v/>
      </c>
      <c r="I40" s="12">
        <f>IF(N40="","",INDEX(Wires!$H$2:$H$1000,N40)&amp;"")</f>
        <v/>
      </c>
      <c r="J40" s="12">
        <f>IF(N40="","",IF(INDEX(Wires!$I$2:$I$1000,N40)="","",INDEX(Wires!$I$2:$I$1000,N40)))</f>
        <v/>
      </c>
      <c r="K40" s="12">
        <f>COUNTIF(Wires!$W$2:$W$1000,M40)+COUNTIF(Wires!$X$2:$X$1000,M40)</f>
        <v/>
      </c>
      <c r="L40" s="12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2">
        <f>A40&amp;":"&amp;B40&amp;IF(EXACT(B40,UPPER(B40)),"","|lc")</f>
        <v/>
      </c>
      <c r="N40" s="12">
        <f>IFERROR(MATCH(M40,Wires!$W$2:$W$1000,0),IFERROR(MATCH(M40,Wires!$X$2:$X$1000,0),""))</f>
        <v/>
      </c>
      <c r="O40" s="12">
        <f>IF(N40="","",IF(ISNUMBER(MATCH(M40,Wires!$W$2:$W$1000,0)),"from","to"))</f>
        <v/>
      </c>
    </row>
    <row r="41">
      <c r="A41" s="10" t="inlineStr">
        <is>
          <t>FUSE 2</t>
        </is>
      </c>
      <c r="B41" s="10" t="inlineStr">
        <is>
          <t>1</t>
        </is>
      </c>
      <c r="C41" s="10" t="n"/>
      <c r="D41" s="10" t="inlineStr">
        <is>
          <t>IN</t>
        </is>
      </c>
      <c r="E41" s="10" t="inlineStr">
        <is>
          <t>24V</t>
        </is>
      </c>
      <c r="F41" s="12">
        <f>IF(N41="","",INDEX(Wires!$A$2:$A$1000,N41))</f>
        <v/>
      </c>
      <c r="G41" s="12">
        <f>IF(N41="","",INDEX(Wires!$C$2:$C$1000,N41))</f>
        <v/>
      </c>
      <c r="H41" s="12">
        <f>IF(N41="","",IF(O41="from",INDEX(Wires!$F$2:$F$1000,N41)&amp;":"&amp;INDEX(Wires!$G$2:$G$1000,N41),INDEX(Wires!$D$2:$D$1000,N41)&amp;":"&amp;INDEX(Wires!$E$2:$E$1000,N41)))</f>
        <v/>
      </c>
      <c r="I41" s="12">
        <f>IF(N41="","",INDEX(Wires!$H$2:$H$1000,N41)&amp;"")</f>
        <v/>
      </c>
      <c r="J41" s="12">
        <f>IF(N41="","",IF(INDEX(Wires!$I$2:$I$1000,N41)="","",INDEX(Wires!$I$2:$I$1000,N41)))</f>
        <v/>
      </c>
      <c r="K41" s="12">
        <f>COUNTIF(Wires!$W$2:$W$1000,M41)+COUNTIF(Wires!$X$2:$X$1000,M41)</f>
        <v/>
      </c>
      <c r="L41" s="12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2">
        <f>A41&amp;":"&amp;B41&amp;IF(EXACT(B41,UPPER(B41)),"","|lc")</f>
        <v/>
      </c>
      <c r="N41" s="12">
        <f>IFERROR(MATCH(M41,Wires!$W$2:$W$1000,0),IFERROR(MATCH(M41,Wires!$X$2:$X$1000,0),""))</f>
        <v/>
      </c>
      <c r="O41" s="12">
        <f>IF(N41="","",IF(ISNUMBER(MATCH(M41,Wires!$W$2:$W$1000,0)),"from","to"))</f>
        <v/>
      </c>
    </row>
    <row r="42">
      <c r="A42" s="10" t="inlineStr">
        <is>
          <t>FUSE 2</t>
        </is>
      </c>
      <c r="B42" s="10" t="inlineStr">
        <is>
          <t>2</t>
        </is>
      </c>
      <c r="C42" s="10" t="n"/>
      <c r="D42" s="10" t="inlineStr">
        <is>
          <t>OUT</t>
        </is>
      </c>
      <c r="E42" s="10" t="inlineStr">
        <is>
          <t>24V</t>
        </is>
      </c>
      <c r="F42" s="12">
        <f>IF(N42="","",INDEX(Wires!$A$2:$A$1000,N42))</f>
        <v/>
      </c>
      <c r="G42" s="12">
        <f>IF(N42="","",INDEX(Wires!$C$2:$C$1000,N42))</f>
        <v/>
      </c>
      <c r="H42" s="12">
        <f>IF(N42="","",IF(O42="from",INDEX(Wires!$F$2:$F$1000,N42)&amp;":"&amp;INDEX(Wires!$G$2:$G$1000,N42),INDEX(Wires!$D$2:$D$1000,N42)&amp;":"&amp;INDEX(Wires!$E$2:$E$1000,N42)))</f>
        <v/>
      </c>
      <c r="I42" s="12">
        <f>IF(N42="","",INDEX(Wires!$H$2:$H$1000,N42)&amp;"")</f>
        <v/>
      </c>
      <c r="J42" s="12">
        <f>IF(N42="","",IF(INDEX(Wires!$I$2:$I$1000,N42)="","",INDEX(Wires!$I$2:$I$1000,N42)))</f>
        <v/>
      </c>
      <c r="K42" s="12">
        <f>COUNTIF(Wires!$W$2:$W$1000,M42)+COUNTIF(Wires!$X$2:$X$1000,M42)</f>
        <v/>
      </c>
      <c r="L42" s="12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2">
        <f>A42&amp;":"&amp;B42&amp;IF(EXACT(B42,UPPER(B42)),"","|lc")</f>
        <v/>
      </c>
      <c r="N42" s="12">
        <f>IFERROR(MATCH(M42,Wires!$W$2:$W$1000,0),IFERROR(MATCH(M42,Wires!$X$2:$X$1000,0),""))</f>
        <v/>
      </c>
      <c r="O42" s="12">
        <f>IF(N42="","",IF(ISNUMBER(MATCH(M42,Wires!$W$2:$W$1000,0)),"from","to"))</f>
        <v/>
      </c>
    </row>
    <row r="43">
      <c r="A43" s="10" t="inlineStr">
        <is>
          <t>SPL LVMS-1</t>
        </is>
      </c>
      <c r="B43" s="10" t="inlineStr">
        <is>
          <t>S</t>
        </is>
      </c>
      <c r="C43" s="10" t="inlineStr">
        <is>
          <t>LVMS-1</t>
        </is>
      </c>
      <c r="D43" s="10" t="n"/>
      <c r="E43" s="10" t="n"/>
      <c r="F43" s="12">
        <f>IF(N43="","",INDEX(Wires!$A$2:$A$1000,N43))</f>
        <v/>
      </c>
      <c r="G43" s="12">
        <f>IF(N43="","",INDEX(Wires!$C$2:$C$1000,N43))</f>
        <v/>
      </c>
      <c r="H43" s="12">
        <f>IF(N43="","",IF(O43="from",INDEX(Wires!$F$2:$F$1000,N43)&amp;":"&amp;INDEX(Wires!$G$2:$G$1000,N43),INDEX(Wires!$D$2:$D$1000,N43)&amp;":"&amp;INDEX(Wires!$E$2:$E$1000,N43)))</f>
        <v/>
      </c>
      <c r="I43" s="12">
        <f>IF(N43="","",INDEX(Wires!$H$2:$H$1000,N43)&amp;"")</f>
        <v/>
      </c>
      <c r="J43" s="12">
        <f>IF(N43="","",IF(INDEX(Wires!$I$2:$I$1000,N43)="","",INDEX(Wires!$I$2:$I$1000,N43)))</f>
        <v/>
      </c>
      <c r="K43" s="12">
        <f>COUNTIF(Wires!$W$2:$W$1000,M43)+COUNTIF(Wires!$X$2:$X$1000,M43)</f>
        <v/>
      </c>
      <c r="L43" s="12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2">
        <f>A43&amp;":"&amp;B43&amp;IF(EXACT(B43,UPPER(B43)),"","|lc")</f>
        <v/>
      </c>
      <c r="N43" s="12">
        <f>IFERROR(MATCH(M43,Wires!$W$2:$W$1000,0),IFERROR(MATCH(M43,Wires!$X$2:$X$1000,0),""))</f>
        <v/>
      </c>
      <c r="O43" s="12">
        <f>IF(N43="","",IF(ISNUMBER(MATCH(M43,Wires!$W$2:$W$1000,0)),"from","to"))</f>
        <v/>
      </c>
    </row>
    <row r="44">
      <c r="A44" s="10" t="inlineStr">
        <is>
          <t>SPL LVMS-2</t>
        </is>
      </c>
      <c r="B44" s="10" t="inlineStr">
        <is>
          <t>S</t>
        </is>
      </c>
      <c r="C44" s="10" t="inlineStr">
        <is>
          <t>LVMS-2</t>
        </is>
      </c>
      <c r="D44" s="10" t="n"/>
      <c r="E44" s="10" t="n"/>
      <c r="F44" s="12">
        <f>IF(N44="","",INDEX(Wires!$A$2:$A$1000,N44))</f>
        <v/>
      </c>
      <c r="G44" s="12">
        <f>IF(N44="","",INDEX(Wires!$C$2:$C$1000,N44))</f>
        <v/>
      </c>
      <c r="H44" s="12">
        <f>IF(N44="","",IF(O44="from",INDEX(Wires!$F$2:$F$1000,N44)&amp;":"&amp;INDEX(Wires!$G$2:$G$1000,N44),INDEX(Wires!$D$2:$D$1000,N44)&amp;":"&amp;INDEX(Wires!$E$2:$E$1000,N44)))</f>
        <v/>
      </c>
      <c r="I44" s="12">
        <f>IF(N44="","",INDEX(Wires!$H$2:$H$1000,N44)&amp;"")</f>
        <v/>
      </c>
      <c r="J44" s="12">
        <f>IF(N44="","",IF(INDEX(Wires!$I$2:$I$1000,N44)="","",INDEX(Wires!$I$2:$I$1000,N44)))</f>
        <v/>
      </c>
      <c r="K44" s="12">
        <f>COUNTIF(Wires!$W$2:$W$1000,M44)+COUNTIF(Wires!$X$2:$X$1000,M44)</f>
        <v/>
      </c>
      <c r="L44" s="12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2">
        <f>A44&amp;":"&amp;B44&amp;IF(EXACT(B44,UPPER(B44)),"","|lc")</f>
        <v/>
      </c>
      <c r="N44" s="12">
        <f>IFERROR(MATCH(M44,Wires!$W$2:$W$1000,0),IFERROR(MATCH(M44,Wires!$X$2:$X$1000,0),""))</f>
        <v/>
      </c>
      <c r="O44" s="12">
        <f>IF(N44="","",IF(ISNUMBER(MATCH(M44,Wires!$W$2:$W$1000,0)),"from","to"))</f>
        <v/>
      </c>
    </row>
    <row r="45">
      <c r="A45" s="10" t="inlineStr">
        <is>
          <t>SPL ASMS-1</t>
        </is>
      </c>
      <c r="B45" s="10" t="inlineStr">
        <is>
          <t>S</t>
        </is>
      </c>
      <c r="C45" s="10" t="inlineStr">
        <is>
          <t>ASMS-1</t>
        </is>
      </c>
      <c r="D45" s="10" t="n"/>
      <c r="E45" s="10" t="n"/>
      <c r="F45" s="12">
        <f>IF(N45="","",INDEX(Wires!$A$2:$A$1000,N45))</f>
        <v/>
      </c>
      <c r="G45" s="12">
        <f>IF(N45="","",INDEX(Wires!$C$2:$C$1000,N45))</f>
        <v/>
      </c>
      <c r="H45" s="12">
        <f>IF(N45="","",IF(O45="from",INDEX(Wires!$F$2:$F$1000,N45)&amp;":"&amp;INDEX(Wires!$G$2:$G$1000,N45),INDEX(Wires!$D$2:$D$1000,N45)&amp;":"&amp;INDEX(Wires!$E$2:$E$1000,N45)))</f>
        <v/>
      </c>
      <c r="I45" s="12">
        <f>IF(N45="","",INDEX(Wires!$H$2:$H$1000,N45)&amp;"")</f>
        <v/>
      </c>
      <c r="J45" s="12">
        <f>IF(N45="","",IF(INDEX(Wires!$I$2:$I$1000,N45)="","",INDEX(Wires!$I$2:$I$1000,N45)))</f>
        <v/>
      </c>
      <c r="K45" s="12">
        <f>COUNTIF(Wires!$W$2:$W$1000,M45)+COUNTIF(Wires!$X$2:$X$1000,M45)</f>
        <v/>
      </c>
      <c r="L45" s="12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2">
        <f>A45&amp;":"&amp;B45&amp;IF(EXACT(B45,UPPER(B45)),"","|lc")</f>
        <v/>
      </c>
      <c r="N45" s="12">
        <f>IFERROR(MATCH(M45,Wires!$W$2:$W$1000,0),IFERROR(MATCH(M45,Wires!$X$2:$X$1000,0),""))</f>
        <v/>
      </c>
      <c r="O45" s="12">
        <f>IF(N45="","",IF(ISNUMBER(MATCH(M45,Wires!$W$2:$W$1000,0)),"from","to"))</f>
        <v/>
      </c>
    </row>
    <row r="46">
      <c r="A46" s="10" t="inlineStr">
        <is>
          <t>SPL GND BJ-1</t>
        </is>
      </c>
      <c r="B46" s="10" t="inlineStr">
        <is>
          <t>S</t>
        </is>
      </c>
      <c r="C46" s="10" t="inlineStr">
        <is>
          <t>GND BJ-1</t>
        </is>
      </c>
      <c r="D46" s="10" t="n"/>
      <c r="E46" s="10" t="n"/>
      <c r="F46" s="12">
        <f>IF(N46="","",INDEX(Wires!$A$2:$A$1000,N46))</f>
        <v/>
      </c>
      <c r="G46" s="12">
        <f>IF(N46="","",INDEX(Wires!$C$2:$C$1000,N46))</f>
        <v/>
      </c>
      <c r="H46" s="12">
        <f>IF(N46="","",IF(O46="from",INDEX(Wires!$F$2:$F$1000,N46)&amp;":"&amp;INDEX(Wires!$G$2:$G$1000,N46),INDEX(Wires!$D$2:$D$1000,N46)&amp;":"&amp;INDEX(Wires!$E$2:$E$1000,N46)))</f>
        <v/>
      </c>
      <c r="I46" s="12">
        <f>IF(N46="","",INDEX(Wires!$H$2:$H$1000,N46)&amp;"")</f>
        <v/>
      </c>
      <c r="J46" s="12">
        <f>IF(N46="","",IF(INDEX(Wires!$I$2:$I$1000,N46)="","",INDEX(Wires!$I$2:$I$1000,N46)))</f>
        <v/>
      </c>
      <c r="K46" s="12">
        <f>COUNTIF(Wires!$W$2:$W$1000,M46)+COUNTIF(Wires!$X$2:$X$1000,M46)</f>
        <v/>
      </c>
      <c r="L46" s="12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2">
        <f>A46&amp;":"&amp;B46&amp;IF(EXACT(B46,UPPER(B46)),"","|lc")</f>
        <v/>
      </c>
      <c r="N46" s="12">
        <f>IFERROR(MATCH(M46,Wires!$W$2:$W$1000,0),IFERROR(MATCH(M46,Wires!$X$2:$X$1000,0),""))</f>
        <v/>
      </c>
      <c r="O46" s="12">
        <f>IF(N46="","",IF(ISNUMBER(MATCH(M46,Wires!$W$2:$W$1000,0)),"from","to"))</f>
        <v/>
      </c>
    </row>
    <row r="47">
      <c r="A47" s="10" t="inlineStr">
        <is>
          <t>GND BJ</t>
        </is>
      </c>
      <c r="B47" s="10" t="inlineStr">
        <is>
          <t>?1</t>
        </is>
      </c>
      <c r="C47" s="10" t="n"/>
      <c r="D47" s="10" t="n"/>
      <c r="E47" s="10" t="n"/>
      <c r="F47" s="12">
        <f>IF(N47="","",INDEX(Wires!$A$2:$A$1000,N47))</f>
        <v/>
      </c>
      <c r="G47" s="12">
        <f>IF(N47="","",INDEX(Wires!$C$2:$C$1000,N47))</f>
        <v/>
      </c>
      <c r="H47" s="12">
        <f>IF(N47="","",IF(O47="from",INDEX(Wires!$F$2:$F$1000,N47)&amp;":"&amp;INDEX(Wires!$G$2:$G$1000,N47),INDEX(Wires!$D$2:$D$1000,N47)&amp;":"&amp;INDEX(Wires!$E$2:$E$1000,N47)))</f>
        <v/>
      </c>
      <c r="I47" s="12">
        <f>IF(N47="","",INDEX(Wires!$H$2:$H$1000,N47)&amp;"")</f>
        <v/>
      </c>
      <c r="J47" s="12">
        <f>IF(N47="","",IF(INDEX(Wires!$I$2:$I$1000,N47)="","",INDEX(Wires!$I$2:$I$1000,N47)))</f>
        <v/>
      </c>
      <c r="K47" s="12">
        <f>COUNTIF(Wires!$W$2:$W$1000,M47)+COUNTIF(Wires!$X$2:$X$1000,M47)</f>
        <v/>
      </c>
      <c r="L47" s="12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2">
        <f>A47&amp;":"&amp;B47&amp;IF(EXACT(B47,UPPER(B47)),"","|lc")</f>
        <v/>
      </c>
      <c r="N47" s="12">
        <f>IFERROR(MATCH(M47,Wires!$W$2:$W$1000,0),IFERROR(MATCH(M47,Wires!$X$2:$X$1000,0),""))</f>
        <v/>
      </c>
      <c r="O47" s="12">
        <f>IF(N47="","",IF(ISNUMBER(MATCH(M47,Wires!$W$2:$W$1000,0)),"from","to"))</f>
        <v/>
      </c>
    </row>
    <row r="48">
      <c r="A48" s="10" t="inlineStr">
        <is>
          <t>SIDEPANEL J2</t>
        </is>
      </c>
      <c r="B48" s="10" t="inlineStr">
        <is>
          <t>?1</t>
        </is>
      </c>
      <c r="C48" s="10" t="n"/>
      <c r="D48" s="10" t="n"/>
      <c r="E48" s="10" t="n"/>
      <c r="F48" s="12">
        <f>IF(N48="","",INDEX(Wires!$A$2:$A$1000,N48))</f>
        <v/>
      </c>
      <c r="G48" s="12">
        <f>IF(N48="","",INDEX(Wires!$C$2:$C$1000,N48))</f>
        <v/>
      </c>
      <c r="H48" s="12">
        <f>IF(N48="","",IF(O48="from",INDEX(Wires!$F$2:$F$1000,N48)&amp;":"&amp;INDEX(Wires!$G$2:$G$1000,N48),INDEX(Wires!$D$2:$D$1000,N48)&amp;":"&amp;INDEX(Wires!$E$2:$E$1000,N48)))</f>
        <v/>
      </c>
      <c r="I48" s="12">
        <f>IF(N48="","",INDEX(Wires!$H$2:$H$1000,N48)&amp;"")</f>
        <v/>
      </c>
      <c r="J48" s="12">
        <f>IF(N48="","",IF(INDEX(Wires!$I$2:$I$1000,N48)="","",INDEX(Wires!$I$2:$I$1000,N48)))</f>
        <v/>
      </c>
      <c r="K48" s="12">
        <f>COUNTIF(Wires!$W$2:$W$1000,M48)+COUNTIF(Wires!$X$2:$X$1000,M48)</f>
        <v/>
      </c>
      <c r="L48" s="12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2">
        <f>A48&amp;":"&amp;B48&amp;IF(EXACT(B48,UPPER(B48)),"","|lc")</f>
        <v/>
      </c>
      <c r="N48" s="12">
        <f>IFERROR(MATCH(M48,Wires!$W$2:$W$1000,0),IFERROR(MATCH(M48,Wires!$X$2:$X$1000,0),""))</f>
        <v/>
      </c>
      <c r="O48" s="12">
        <f>IF(N48="","",IF(ISNUMBER(MATCH(M48,Wires!$W$2:$W$1000,0)),"from","to"))</f>
        <v/>
      </c>
    </row>
    <row r="49">
      <c r="A49" s="10" t="inlineStr">
        <is>
          <t>SIDEPANEL J2</t>
        </is>
      </c>
      <c r="B49" s="10" t="inlineStr">
        <is>
          <t>?2</t>
        </is>
      </c>
      <c r="C49" s="10" t="n"/>
      <c r="D49" s="10" t="n"/>
      <c r="E49" s="10" t="n"/>
      <c r="F49" s="12">
        <f>IF(N49="","",INDEX(Wires!$A$2:$A$1000,N49))</f>
        <v/>
      </c>
      <c r="G49" s="12">
        <f>IF(N49="","",INDEX(Wires!$C$2:$C$1000,N49))</f>
        <v/>
      </c>
      <c r="H49" s="12">
        <f>IF(N49="","",IF(O49="from",INDEX(Wires!$F$2:$F$1000,N49)&amp;":"&amp;INDEX(Wires!$G$2:$G$1000,N49),INDEX(Wires!$D$2:$D$1000,N49)&amp;":"&amp;INDEX(Wires!$E$2:$E$1000,N49)))</f>
        <v/>
      </c>
      <c r="I49" s="12">
        <f>IF(N49="","",INDEX(Wires!$H$2:$H$1000,N49)&amp;"")</f>
        <v/>
      </c>
      <c r="J49" s="12">
        <f>IF(N49="","",IF(INDEX(Wires!$I$2:$I$1000,N49)="","",INDEX(Wires!$I$2:$I$1000,N49)))</f>
        <v/>
      </c>
      <c r="K49" s="12">
        <f>COUNTIF(Wires!$W$2:$W$1000,M49)+COUNTIF(Wires!$X$2:$X$1000,M49)</f>
        <v/>
      </c>
      <c r="L49" s="12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2">
        <f>A49&amp;":"&amp;B49&amp;IF(EXACT(B49,UPPER(B49)),"","|lc")</f>
        <v/>
      </c>
      <c r="N49" s="12">
        <f>IFERROR(MATCH(M49,Wires!$W$2:$W$1000,0),IFERROR(MATCH(M49,Wires!$X$2:$X$1000,0),""))</f>
        <v/>
      </c>
      <c r="O49" s="12">
        <f>IF(N49="","",IF(ISNUMBER(MATCH(M49,Wires!$W$2:$W$1000,0)),"from","to"))</f>
        <v/>
      </c>
    </row>
    <row r="50">
      <c r="A50" s="10" t="inlineStr">
        <is>
          <t>LV FUSE 1</t>
        </is>
      </c>
      <c r="B50" s="10" t="inlineStr">
        <is>
          <t>?1</t>
        </is>
      </c>
      <c r="C50" s="10" t="n"/>
      <c r="D50" s="10" t="n"/>
      <c r="E50" s="10" t="n"/>
      <c r="F50" s="12">
        <f>IF(N50="","",INDEX(Wires!$A$2:$A$1000,N50))</f>
        <v/>
      </c>
      <c r="G50" s="12">
        <f>IF(N50="","",INDEX(Wires!$C$2:$C$1000,N50))</f>
        <v/>
      </c>
      <c r="H50" s="12">
        <f>IF(N50="","",IF(O50="from",INDEX(Wires!$F$2:$F$1000,N50)&amp;":"&amp;INDEX(Wires!$G$2:$G$1000,N50),INDEX(Wires!$D$2:$D$1000,N50)&amp;":"&amp;INDEX(Wires!$E$2:$E$1000,N50)))</f>
        <v/>
      </c>
      <c r="I50" s="12">
        <f>IF(N50="","",INDEX(Wires!$H$2:$H$1000,N50)&amp;"")</f>
        <v/>
      </c>
      <c r="J50" s="12">
        <f>IF(N50="","",IF(INDEX(Wires!$I$2:$I$1000,N50)="","",INDEX(Wires!$I$2:$I$1000,N50)))</f>
        <v/>
      </c>
      <c r="K50" s="12">
        <f>COUNTIF(Wires!$W$2:$W$1000,M50)+COUNTIF(Wires!$X$2:$X$1000,M50)</f>
        <v/>
      </c>
      <c r="L50" s="12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2">
        <f>A50&amp;":"&amp;B50&amp;IF(EXACT(B50,UPPER(B50)),"","|lc")</f>
        <v/>
      </c>
      <c r="N50" s="12">
        <f>IFERROR(MATCH(M50,Wires!$W$2:$W$1000,0),IFERROR(MATCH(M50,Wires!$X$2:$X$1000,0),""))</f>
        <v/>
      </c>
      <c r="O50" s="12">
        <f>IF(N50="","",IF(ISNUMBER(MATCH(M50,Wires!$W$2:$W$1000,0)),"from","to"))</f>
        <v/>
      </c>
    </row>
    <row r="51">
      <c r="A51" s="10" t="inlineStr">
        <is>
          <t>LV FUSE 2</t>
        </is>
      </c>
      <c r="B51" s="10" t="inlineStr">
        <is>
          <t>?1</t>
        </is>
      </c>
      <c r="C51" s="10" t="n"/>
      <c r="D51" s="10" t="n"/>
      <c r="E51" s="10" t="n"/>
      <c r="F51" s="12">
        <f>IF(N51="","",INDEX(Wires!$A$2:$A$1000,N51))</f>
        <v/>
      </c>
      <c r="G51" s="12">
        <f>IF(N51="","",INDEX(Wires!$C$2:$C$1000,N51))</f>
        <v/>
      </c>
      <c r="H51" s="12">
        <f>IF(N51="","",IF(O51="from",INDEX(Wires!$F$2:$F$1000,N51)&amp;":"&amp;INDEX(Wires!$G$2:$G$1000,N51),INDEX(Wires!$D$2:$D$1000,N51)&amp;":"&amp;INDEX(Wires!$E$2:$E$1000,N51)))</f>
        <v/>
      </c>
      <c r="I51" s="12">
        <f>IF(N51="","",INDEX(Wires!$H$2:$H$1000,N51)&amp;"")</f>
        <v/>
      </c>
      <c r="J51" s="12">
        <f>IF(N51="","",IF(INDEX(Wires!$I$2:$I$1000,N51)="","",INDEX(Wires!$I$2:$I$1000,N51)))</f>
        <v/>
      </c>
      <c r="K51" s="12">
        <f>COUNTIF(Wires!$W$2:$W$1000,M51)+COUNTIF(Wires!$X$2:$X$1000,M51)</f>
        <v/>
      </c>
      <c r="L51" s="12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2">
        <f>A51&amp;":"&amp;B51&amp;IF(EXACT(B51,UPPER(B51)),"","|lc")</f>
        <v/>
      </c>
      <c r="N51" s="12">
        <f>IFERROR(MATCH(M51,Wires!$W$2:$W$1000,0),IFERROR(MATCH(M51,Wires!$X$2:$X$1000,0),""))</f>
        <v/>
      </c>
      <c r="O51" s="12">
        <f>IF(N51="","",IF(ISNUMBER(MATCH(M51,Wires!$W$2:$W$1000,0)),"from","to"))</f>
        <v/>
      </c>
    </row>
    <row r="52">
      <c r="A52" s="10" t="inlineStr">
        <is>
          <t>TS CABEL</t>
        </is>
      </c>
      <c r="B52" s="10" t="inlineStr">
        <is>
          <t>?1</t>
        </is>
      </c>
      <c r="C52" s="10" t="n"/>
      <c r="D52" s="10" t="n"/>
      <c r="E52" s="10" t="n"/>
      <c r="F52" s="12">
        <f>IF(N52="","",INDEX(Wires!$A$2:$A$1000,N52))</f>
        <v/>
      </c>
      <c r="G52" s="12">
        <f>IF(N52="","",INDEX(Wires!$C$2:$C$1000,N52))</f>
        <v/>
      </c>
      <c r="H52" s="12">
        <f>IF(N52="","",IF(O52="from",INDEX(Wires!$F$2:$F$1000,N52)&amp;":"&amp;INDEX(Wires!$G$2:$G$1000,N52),INDEX(Wires!$D$2:$D$1000,N52)&amp;":"&amp;INDEX(Wires!$E$2:$E$1000,N52)))</f>
        <v/>
      </c>
      <c r="I52" s="12">
        <f>IF(N52="","",INDEX(Wires!$H$2:$H$1000,N52)&amp;"")</f>
        <v/>
      </c>
      <c r="J52" s="12">
        <f>IF(N52="","",IF(INDEX(Wires!$I$2:$I$1000,N52)="","",INDEX(Wires!$I$2:$I$1000,N52)))</f>
        <v/>
      </c>
      <c r="K52" s="12">
        <f>COUNTIF(Wires!$W$2:$W$1000,M52)+COUNTIF(Wires!$X$2:$X$1000,M52)</f>
        <v/>
      </c>
      <c r="L52" s="12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2">
        <f>A52&amp;":"&amp;B52&amp;IF(EXACT(B52,UPPER(B52)),"","|lc")</f>
        <v/>
      </c>
      <c r="N52" s="12">
        <f>IFERROR(MATCH(M52,Wires!$W$2:$W$1000,0),IFERROR(MATCH(M52,Wires!$X$2:$X$1000,0),""))</f>
        <v/>
      </c>
      <c r="O52" s="12">
        <f>IF(N52="","",IF(ISNUMBER(MATCH(M52,Wires!$W$2:$W$1000,0)),"from","to"))</f>
        <v/>
      </c>
    </row>
    <row r="53">
      <c r="A53" s="10" t="inlineStr">
        <is>
          <t>BATTERY GND</t>
        </is>
      </c>
      <c r="B53" s="10" t="inlineStr">
        <is>
          <t>GND</t>
        </is>
      </c>
      <c r="C53" s="10" t="n"/>
      <c r="D53" s="10" t="n"/>
      <c r="E53" s="10" t="n"/>
      <c r="F53" s="12">
        <f>IF(N53="","",INDEX(Wires!$A$2:$A$1000,N53))</f>
        <v/>
      </c>
      <c r="G53" s="12">
        <f>IF(N53="","",INDEX(Wires!$C$2:$C$1000,N53))</f>
        <v/>
      </c>
      <c r="H53" s="12">
        <f>IF(N53="","",IF(O53="from",INDEX(Wires!$F$2:$F$1000,N53)&amp;":"&amp;INDEX(Wires!$G$2:$G$1000,N53),INDEX(Wires!$D$2:$D$1000,N53)&amp;":"&amp;INDEX(Wires!$E$2:$E$1000,N53)))</f>
        <v/>
      </c>
      <c r="I53" s="12">
        <f>IF(N53="","",INDEX(Wires!$H$2:$H$1000,N53)&amp;"")</f>
        <v/>
      </c>
      <c r="J53" s="12">
        <f>IF(N53="","",IF(INDEX(Wires!$I$2:$I$1000,N53)="","",INDEX(Wires!$I$2:$I$1000,N53)))</f>
        <v/>
      </c>
      <c r="K53" s="12">
        <f>COUNTIF(Wires!$W$2:$W$1000,M53)+COUNTIF(Wires!$X$2:$X$1000,M53)</f>
        <v/>
      </c>
      <c r="L53" s="12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2">
        <f>A53&amp;":"&amp;B53&amp;IF(EXACT(B53,UPPER(B53)),"","|lc")</f>
        <v/>
      </c>
      <c r="N53" s="12">
        <f>IFERROR(MATCH(M53,Wires!$W$2:$W$1000,0),IFERROR(MATCH(M53,Wires!$X$2:$X$1000,0),""))</f>
        <v/>
      </c>
      <c r="O53" s="12">
        <f>IF(N53="","",IF(ISNUMBER(MATCH(M53,Wires!$W$2:$W$1000,0)),"from","to"))</f>
        <v/>
      </c>
    </row>
  </sheetData>
  <autoFilter ref="A1:O53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MS20W23F-10</t>
        </is>
      </c>
      <c r="B2" s="10" t="inlineStr">
        <is>
          <t>Amphenol Sine RTS (ecomate, circular)</t>
        </is>
      </c>
      <c r="C2" s="10" t="inlineStr">
        <is>
          <t>crimp</t>
        </is>
      </c>
      <c r="D2" s="10" t="inlineStr">
        <is>
          <t>contacto fêmea tamanho 20, crimp</t>
        </is>
      </c>
      <c r="E2" s="10" t="inlineStr">
        <is>
          <t>20–22 AWG</t>
        </is>
      </c>
      <c r="F2" s="10" t="inlineStr">
        <is>
          <t>Notion · LART Central / Electronics / Inventory Management / BOM Management / Connectors Harness (2026-10-22)</t>
        </is>
      </c>
      <c r="G2" s="10" t="inlineStr">
        <is>
          <t>N</t>
        </is>
      </c>
      <c r="H2" s="11" t="n"/>
    </row>
    <row r="3">
      <c r="A3" s="13" t="inlineStr">
        <is>
          <t>RTS714N19S03</t>
        </is>
      </c>
      <c r="B3" s="10" t="inlineStr">
        <is>
          <t>Amphenol Sine RTS (ecomate, circular)</t>
        </is>
      </c>
      <c r="C3" s="10" t="inlineStr">
        <is>
          <t>ficha</t>
        </is>
      </c>
      <c r="D3" s="10" t="inlineStr">
        <is>
          <t>19 vias · conector principal do AD Box e do Side Panel</t>
        </is>
      </c>
      <c r="E3" s="10" t="n"/>
      <c r="F3" s="10" t="inlineStr">
        <is>
          <t>Notion · LART Central / Electronics / Inventory Management / BOM Management / Connectors Harness (2026-10-22)</t>
        </is>
      </c>
      <c r="G3" s="10" t="inlineStr">
        <is>
          <t>N</t>
        </is>
      </c>
      <c r="H3" s="11" t="n"/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  <row r="2">
      <c r="A2" s="10" t="inlineStr">
        <is>
          <t>S01</t>
        </is>
      </c>
      <c r="B2" s="10" t="inlineStr">
        <is>
          <t>SIDEPANEL J2</t>
        </is>
      </c>
      <c r="C2" s="10" t="inlineStr">
        <is>
          <t>BP1</t>
        </is>
      </c>
      <c r="D2" s="11" t="n"/>
      <c r="E2" s="10" t="inlineStr">
        <is>
          <t>SIDEPANEL</t>
        </is>
      </c>
    </row>
    <row r="3">
      <c r="A3" s="10" t="inlineStr">
        <is>
          <t>S02</t>
        </is>
      </c>
      <c r="B3" s="10" t="inlineStr">
        <is>
          <t>GND</t>
        </is>
      </c>
      <c r="C3" s="10" t="inlineStr">
        <is>
          <t>BP1</t>
        </is>
      </c>
      <c r="D3" s="11" t="n"/>
      <c r="E3" s="10" t="inlineStr">
        <is>
          <t>SIDEPANEL</t>
        </is>
      </c>
    </row>
    <row r="4">
      <c r="A4" s="10" t="inlineStr">
        <is>
          <t>S03</t>
        </is>
      </c>
      <c r="B4" s="10" t="inlineStr">
        <is>
          <t>LVMS</t>
        </is>
      </c>
      <c r="C4" s="10" t="inlineStr">
        <is>
          <t>BP1</t>
        </is>
      </c>
      <c r="D4" s="11" t="n"/>
      <c r="E4" s="10" t="inlineStr">
        <is>
          <t>SIDEPANEL</t>
        </is>
      </c>
    </row>
    <row r="5">
      <c r="A5" s="10" t="inlineStr">
        <is>
          <t>S04</t>
        </is>
      </c>
      <c r="B5" s="10" t="inlineStr">
        <is>
          <t>+24V BJ</t>
        </is>
      </c>
      <c r="C5" s="10" t="inlineStr">
        <is>
          <t>LVMS</t>
        </is>
      </c>
      <c r="D5" s="11" t="n"/>
      <c r="E5" s="10" t="inlineStr">
        <is>
          <t>SIDEPANEL</t>
        </is>
      </c>
    </row>
    <row r="6">
      <c r="A6" s="10" t="inlineStr">
        <is>
          <t>S05</t>
        </is>
      </c>
      <c r="B6" s="10" t="inlineStr">
        <is>
          <t>ASMS</t>
        </is>
      </c>
      <c r="C6" s="10" t="inlineStr">
        <is>
          <t>BP2</t>
        </is>
      </c>
      <c r="D6" s="10" t="n">
        <v>210</v>
      </c>
      <c r="E6" s="10" t="inlineStr">
        <is>
          <t>SIDEPANEL</t>
        </is>
      </c>
    </row>
    <row r="7">
      <c r="A7" s="10" t="inlineStr">
        <is>
          <t>S06</t>
        </is>
      </c>
      <c r="B7" s="10" t="inlineStr">
        <is>
          <t>SIDEPANEL J1</t>
        </is>
      </c>
      <c r="C7" s="10" t="inlineStr">
        <is>
          <t>BP2</t>
        </is>
      </c>
      <c r="D7" s="10" t="n">
        <v>200</v>
      </c>
      <c r="E7" s="10" t="inlineStr">
        <is>
          <t>SIDEPANEL</t>
        </is>
      </c>
    </row>
    <row r="8">
      <c r="A8" s="10" t="inlineStr">
        <is>
          <t>S07</t>
        </is>
      </c>
      <c r="B8" s="10" t="inlineStr">
        <is>
          <t>IGN A.</t>
        </is>
      </c>
      <c r="C8" s="10" t="inlineStr">
        <is>
          <t>BP2</t>
        </is>
      </c>
      <c r="D8" s="10" t="n">
        <v>103</v>
      </c>
      <c r="E8" s="10" t="inlineStr">
        <is>
          <t>SIDEPANEL</t>
        </is>
      </c>
    </row>
    <row r="9">
      <c r="A9" s="10" t="inlineStr">
        <is>
          <t>S08</t>
        </is>
      </c>
      <c r="B9" s="10" t="inlineStr">
        <is>
          <t>M.S</t>
        </is>
      </c>
      <c r="C9" s="10" t="inlineStr">
        <is>
          <t>BP2</t>
        </is>
      </c>
      <c r="D9" s="10" t="n">
        <v>103</v>
      </c>
      <c r="E9" s="10" t="inlineStr">
        <is>
          <t>SIDEPANEL</t>
        </is>
      </c>
    </row>
    <row r="10">
      <c r="A10" s="10" t="inlineStr">
        <is>
          <t>S09</t>
        </is>
      </c>
      <c r="B10" s="10" t="inlineStr">
        <is>
          <t>BP2</t>
        </is>
      </c>
      <c r="C10" s="10" t="inlineStr">
        <is>
          <t>BP3</t>
        </is>
      </c>
      <c r="D10" s="10" t="n">
        <v>60</v>
      </c>
      <c r="E10" s="10" t="inlineStr">
        <is>
          <t>SIDEPANEL</t>
        </is>
      </c>
    </row>
    <row r="11">
      <c r="A11" s="10" t="inlineStr">
        <is>
          <t>S10</t>
        </is>
      </c>
      <c r="B11" s="10" t="inlineStr">
        <is>
          <t>RACE S.</t>
        </is>
      </c>
      <c r="C11" s="10" t="inlineStr">
        <is>
          <t>BP3</t>
        </is>
      </c>
      <c r="D11" s="10" t="n">
        <v>103</v>
      </c>
      <c r="E11" s="10" t="inlineStr">
        <is>
          <t>SIDEPANEL</t>
        </is>
      </c>
    </row>
    <row r="12">
      <c r="A12" s="10" t="inlineStr">
        <is>
          <t>S11</t>
        </is>
      </c>
      <c r="B12" s="10" t="inlineStr">
        <is>
          <t>BP3</t>
        </is>
      </c>
      <c r="C12" s="10" t="inlineStr">
        <is>
          <t>BP4</t>
        </is>
      </c>
      <c r="D12" s="10" t="n">
        <v>32</v>
      </c>
      <c r="E12" s="10" t="inlineStr">
        <is>
          <t>SIDEPANEL</t>
        </is>
      </c>
    </row>
    <row r="13">
      <c r="A13" s="10" t="inlineStr">
        <is>
          <t>S12</t>
        </is>
      </c>
      <c r="B13" s="10" t="inlineStr">
        <is>
          <t>RESET</t>
        </is>
      </c>
      <c r="C13" s="10" t="inlineStr">
        <is>
          <t>BP4</t>
        </is>
      </c>
      <c r="D13" s="10" t="n">
        <v>103</v>
      </c>
      <c r="E13" s="10" t="inlineStr">
        <is>
          <t>SIDEPANEL</t>
        </is>
      </c>
    </row>
    <row r="14">
      <c r="A14" s="10" t="inlineStr">
        <is>
          <t>S13</t>
        </is>
      </c>
      <c r="B14" s="10" t="inlineStr">
        <is>
          <t>GND BJ</t>
        </is>
      </c>
      <c r="C14" s="10" t="inlineStr">
        <is>
          <t>BP4</t>
        </is>
      </c>
      <c r="D14" s="10" t="n">
        <v>83</v>
      </c>
      <c r="E14" s="10" t="inlineStr">
        <is>
          <t>SIDEPANEL</t>
        </is>
      </c>
    </row>
    <row r="15">
      <c r="A15" s="10" t="inlineStr">
        <is>
          <t>S14</t>
        </is>
      </c>
      <c r="B15" s="10" t="inlineStr">
        <is>
          <t>BP4</t>
        </is>
      </c>
      <c r="C15" s="10" t="inlineStr">
        <is>
          <t>BP5</t>
        </is>
      </c>
      <c r="D15" s="10" t="n">
        <v>101</v>
      </c>
      <c r="E15" s="10" t="inlineStr">
        <is>
          <t>SIDEPANEL</t>
        </is>
      </c>
    </row>
    <row r="16">
      <c r="A16" s="10" t="inlineStr">
        <is>
          <t>S15</t>
        </is>
      </c>
      <c r="B16" s="10" t="inlineStr">
        <is>
          <t>TSMS</t>
        </is>
      </c>
      <c r="C16" s="10" t="inlineStr">
        <is>
          <t>BP5</t>
        </is>
      </c>
      <c r="D16" s="10" t="n">
        <v>65</v>
      </c>
      <c r="E16" s="10" t="inlineStr">
        <is>
          <t>SIDEPANEL</t>
        </is>
      </c>
    </row>
    <row r="17">
      <c r="A17" s="10" t="inlineStr">
        <is>
          <t>S16</t>
        </is>
      </c>
      <c r="B17" s="10" t="inlineStr">
        <is>
          <t>BP5</t>
        </is>
      </c>
      <c r="C17" s="10" t="inlineStr">
        <is>
          <t>BP6</t>
        </is>
      </c>
      <c r="D17" s="10" t="n">
        <v>113</v>
      </c>
      <c r="E17" s="10" t="inlineStr">
        <is>
          <t>SIDEPANEL</t>
        </is>
      </c>
    </row>
    <row r="18">
      <c r="A18" s="10" t="inlineStr">
        <is>
          <t>S17</t>
        </is>
      </c>
      <c r="B18" s="10" t="inlineStr">
        <is>
          <t>FUSE 1 -</t>
        </is>
      </c>
      <c r="C18" s="10" t="inlineStr">
        <is>
          <t>BP6</t>
        </is>
      </c>
      <c r="D18" s="10" t="n">
        <v>30</v>
      </c>
      <c r="E18" s="10" t="inlineStr">
        <is>
          <t>SIDEPANEL</t>
        </is>
      </c>
    </row>
    <row r="19">
      <c r="A19" s="10" t="inlineStr">
        <is>
          <t>S18</t>
        </is>
      </c>
      <c r="B19" s="10" t="inlineStr">
        <is>
          <t>FUSE 2 -</t>
        </is>
      </c>
      <c r="C19" s="10" t="inlineStr">
        <is>
          <t>BP6</t>
        </is>
      </c>
      <c r="D19" s="10" t="n">
        <v>30</v>
      </c>
      <c r="E19" s="10" t="inlineStr">
        <is>
          <t>SIDEPANEL</t>
        </is>
      </c>
    </row>
    <row r="20">
      <c r="A20" s="10" t="inlineStr">
        <is>
          <t>S19</t>
        </is>
      </c>
      <c r="B20" s="10" t="inlineStr">
        <is>
          <t>BP6</t>
        </is>
      </c>
      <c r="C20" s="10" t="inlineStr">
        <is>
          <t>LVMS1</t>
        </is>
      </c>
      <c r="D20" s="10" t="n">
        <v>100</v>
      </c>
      <c r="E20" s="10" t="inlineStr">
        <is>
          <t>SIDEPANEL</t>
        </is>
      </c>
    </row>
    <row r="21">
      <c r="A21" s="10" t="inlineStr">
        <is>
          <t>S20</t>
        </is>
      </c>
      <c r="B21" s="10" t="inlineStr">
        <is>
          <t>FUSE 1 +</t>
        </is>
      </c>
      <c r="C21" s="10" t="inlineStr">
        <is>
          <t>LVMS1</t>
        </is>
      </c>
      <c r="D21" s="10" t="n">
        <v>30</v>
      </c>
      <c r="E21" s="10" t="inlineStr">
        <is>
          <t>SIDEPANEL</t>
        </is>
      </c>
    </row>
    <row r="22">
      <c r="A22" s="10" t="inlineStr">
        <is>
          <t>S21</t>
        </is>
      </c>
      <c r="B22" s="10" t="inlineStr">
        <is>
          <t>FUSE 2 +</t>
        </is>
      </c>
      <c r="C22" s="10" t="inlineStr">
        <is>
          <t>LVMS1</t>
        </is>
      </c>
      <c r="D22" s="10" t="n">
        <v>30</v>
      </c>
      <c r="E22" s="10" t="inlineStr">
        <is>
          <t>SIDEPANEL</t>
        </is>
      </c>
    </row>
  </sheetData>
  <autoFilter ref="A1:E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  <row r="2">
      <c r="A2" s="10" t="inlineStr">
        <is>
          <t>BP1</t>
        </is>
      </c>
      <c r="B2" s="11" t="n"/>
      <c r="C2" s="11" t="n"/>
      <c r="D2" s="11" t="n"/>
      <c r="E2" s="10" t="inlineStr">
        <is>
          <t>ponto de ramificação do RapidHarness; xyz a medir no 3D (modo pick)</t>
        </is>
      </c>
    </row>
    <row r="3">
      <c r="A3" s="10" t="inlineStr">
        <is>
          <t>BP2</t>
        </is>
      </c>
      <c r="B3" s="11" t="n"/>
      <c r="C3" s="11" t="n"/>
      <c r="D3" s="11" t="n"/>
      <c r="E3" s="10" t="inlineStr">
        <is>
          <t>ponto de ramificação do RapidHarness; xyz a medir no 3D (modo pick)</t>
        </is>
      </c>
    </row>
    <row r="4">
      <c r="A4" s="10" t="inlineStr">
        <is>
          <t>BP3</t>
        </is>
      </c>
      <c r="B4" s="11" t="n"/>
      <c r="C4" s="11" t="n"/>
      <c r="D4" s="11" t="n"/>
      <c r="E4" s="10" t="inlineStr">
        <is>
          <t>ponto de ramificação do RapidHarness; xyz a medir no 3D (modo pick)</t>
        </is>
      </c>
    </row>
    <row r="5">
      <c r="A5" s="10" t="inlineStr">
        <is>
          <t>BP4</t>
        </is>
      </c>
      <c r="B5" s="11" t="n"/>
      <c r="C5" s="11" t="n"/>
      <c r="D5" s="11" t="n"/>
      <c r="E5" s="10" t="inlineStr">
        <is>
          <t>ponto de ramificação do RapidHarness; xyz a medir no 3D (modo pick)</t>
        </is>
      </c>
    </row>
    <row r="6">
      <c r="A6" s="10" t="inlineStr">
        <is>
          <t>BP5</t>
        </is>
      </c>
      <c r="B6" s="11" t="n"/>
      <c r="C6" s="11" t="n"/>
      <c r="D6" s="11" t="n"/>
      <c r="E6" s="10" t="inlineStr">
        <is>
          <t>ponto de ramificação do RapidHarness; xyz a medir no 3D (modo pick)</t>
        </is>
      </c>
    </row>
    <row r="7">
      <c r="A7" s="10" t="inlineStr">
        <is>
          <t>BP6</t>
        </is>
      </c>
      <c r="B7" s="11" t="n"/>
      <c r="C7" s="11" t="n"/>
      <c r="D7" s="11" t="n"/>
      <c r="E7" s="10" t="inlineStr">
        <is>
          <t>ponto de ramificação do RapidHarness; xyz a medir no 3D (modo pick)</t>
        </is>
      </c>
    </row>
    <row r="8">
      <c r="A8" s="10" t="inlineStr">
        <is>
          <t>FUSE 1 +</t>
        </is>
      </c>
      <c r="B8" s="11" t="n"/>
      <c r="C8" s="11" t="n"/>
      <c r="D8" s="11" t="n"/>
      <c r="E8" s="10" t="inlineStr">
        <is>
          <t>nome do desenho RapidHarness sem conector com este nome no Excel</t>
        </is>
      </c>
    </row>
    <row r="9">
      <c r="A9" s="10" t="inlineStr">
        <is>
          <t>FUSE 1 -</t>
        </is>
      </c>
      <c r="B9" s="11" t="n"/>
      <c r="C9" s="11" t="n"/>
      <c r="D9" s="11" t="n"/>
      <c r="E9" s="10" t="inlineStr">
        <is>
          <t>nome do desenho RapidHarness sem conector com este nome no Excel</t>
        </is>
      </c>
    </row>
    <row r="10">
      <c r="A10" s="10" t="inlineStr">
        <is>
          <t>FUSE 2 +</t>
        </is>
      </c>
      <c r="B10" s="11" t="n"/>
      <c r="C10" s="11" t="n"/>
      <c r="D10" s="11" t="n"/>
      <c r="E10" s="10" t="inlineStr">
        <is>
          <t>nome do desenho RapidHarness sem conector com este nome no Excel</t>
        </is>
      </c>
    </row>
    <row r="11">
      <c r="A11" s="10" t="inlineStr">
        <is>
          <t>FUSE 2 -</t>
        </is>
      </c>
      <c r="B11" s="11" t="n"/>
      <c r="C11" s="11" t="n"/>
      <c r="D11" s="11" t="n"/>
      <c r="E11" s="10" t="inlineStr">
        <is>
          <t>nome do desenho RapidHarness sem conector com este nome no Excel</t>
        </is>
      </c>
    </row>
    <row r="12">
      <c r="A12" s="10" t="inlineStr">
        <is>
          <t>GND</t>
        </is>
      </c>
      <c r="B12" s="11" t="n"/>
      <c r="C12" s="11" t="n"/>
      <c r="D12" s="11" t="n"/>
      <c r="E12" s="10" t="inlineStr">
        <is>
          <t>nome do desenho RapidHarness sem conector com este nome no Excel</t>
        </is>
      </c>
    </row>
    <row r="13">
      <c r="A13" s="10" t="inlineStr">
        <is>
          <t>LVMS1</t>
        </is>
      </c>
      <c r="B13" s="11" t="n"/>
      <c r="C13" s="11" t="n"/>
      <c r="D13" s="11" t="n"/>
      <c r="E13" s="10" t="inlineStr">
        <is>
          <t>nome do desenho RapidHarness sem conector com este nome no Excel</t>
        </is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SIDEPANEL J1:J</t>
        </is>
      </c>
      <c r="D2" s="2" t="inlineStr">
        <is>
          <t>O pino SIDEPANEL J1:J tem 2 ligações diferentes: SPL ASMS-1:S (folha Master Switch, SidePanel J1); FUSE 2:2 (folha Buchins &amp; Banana Jacks).</t>
        </is>
      </c>
      <c r="E2" s="2" t="inlineStr">
        <is>
          <t>SPL ASMS-1:S (folha Master Switch, SidePanel J1)</t>
        </is>
      </c>
      <c r="F2" s="2" t="inlineStr">
        <is>
          <t>FUSE 2:2 (folha Buchins &amp; Banana Jacks)</t>
        </is>
      </c>
      <c r="G2" s="2" t="inlineStr">
        <is>
          <t>Ficaram todas — decidir qual é a certa e apagar as outras.</t>
        </is>
      </c>
      <c r="H2" s="11" t="n"/>
      <c r="I2" s="10" t="inlineStr">
        <is>
          <t>aberto</t>
        </is>
      </c>
      <c r="J2" s="12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SIDEPANEL J1:K</t>
        </is>
      </c>
      <c r="D3" s="2" t="inlineStr">
        <is>
          <t>O pino SIDEPANEL J1:K tem 2 ligações diferentes: TSMS:1 (folha Master Switch, SidePanel J1); FUSE 1:2 (folha Buchins &amp; Banana Jacks).</t>
        </is>
      </c>
      <c r="E3" s="2" t="inlineStr">
        <is>
          <t>TSMS:1 (folha Master Switch, SidePanel J1)</t>
        </is>
      </c>
      <c r="F3" s="2" t="inlineStr">
        <is>
          <t>FUSE 1:2 (folha Buchins &amp; Banana Jacks)</t>
        </is>
      </c>
      <c r="G3" s="2" t="inlineStr">
        <is>
          <t>Ficaram todas — decidir qual é a certa e apagar as outras.</t>
        </is>
      </c>
      <c r="H3" s="11" t="n"/>
      <c r="I3" s="10" t="inlineStr">
        <is>
          <t>aberto</t>
        </is>
      </c>
      <c r="J3" s="12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TSMS:2</t>
        </is>
      </c>
      <c r="D4" s="2" t="inlineStr">
        <is>
          <t>O pino TSMS:2 tem 2 ligações diferentes: SIDEPANEL J1:L (folha SidePanel J1); SIDEPANEL J1:B (folha Master Switch).</t>
        </is>
      </c>
      <c r="E4" s="2" t="inlineStr">
        <is>
          <t>SIDEPANEL J1:L (folha SidePanel J1)</t>
        </is>
      </c>
      <c r="F4" s="2" t="inlineStr">
        <is>
          <t>SIDEPANEL J1:B (folha Master Switch)</t>
        </is>
      </c>
      <c r="G4" s="2" t="inlineStr">
        <is>
          <t>Ficaram todas — decidir qual é a certa e apagar as outras.</t>
        </is>
      </c>
      <c r="H4" s="11" t="n"/>
      <c r="I4" s="10" t="inlineStr">
        <is>
          <t>aberto</t>
        </is>
      </c>
      <c r="J4" s="12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ASMS:1</t>
        </is>
      </c>
      <c r="D5" s="2" t="inlineStr">
        <is>
          <t>O pino ASMS:1 tem 3 ligações diferentes: SIDEPANEL J1:M (folha SidePanel J1); RACE S.:1 (folha Buttons &amp; Switch); SPL ASMS-1:S (folha Master Switch).</t>
        </is>
      </c>
      <c r="E5" s="2" t="inlineStr">
        <is>
          <t>SIDEPANEL J1:M (folha SidePanel J1)</t>
        </is>
      </c>
      <c r="F5" s="2" t="inlineStr">
        <is>
          <t>RACE S.:1 (folha Buttons &amp; Switch)</t>
        </is>
      </c>
      <c r="G5" s="2" t="inlineStr">
        <is>
          <t>Ficaram todas — decidir qual é a certa e apagar as outras.</t>
        </is>
      </c>
      <c r="H5" s="11" t="n"/>
      <c r="I5" s="10" t="inlineStr">
        <is>
          <t>aberto</t>
        </is>
      </c>
      <c r="J5" s="12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ASMS:2</t>
        </is>
      </c>
      <c r="D6" s="2" t="inlineStr">
        <is>
          <t>O pino ASMS:2 tem 2 ligações diferentes: SIDEPANEL J1:N (folha SidePanel J1); SIDEPANEL J1:D (folha Master Switch).</t>
        </is>
      </c>
      <c r="E6" s="2" t="inlineStr">
        <is>
          <t>SIDEPANEL J1:N (folha SidePanel J1)</t>
        </is>
      </c>
      <c r="F6" s="2" t="inlineStr">
        <is>
          <t>SIDEPANEL J1:D (folha Master Switch)</t>
        </is>
      </c>
      <c r="G6" s="2" t="inlineStr">
        <is>
          <t>Ficaram todas — decidir qual é a certa e apagar as outras.</t>
        </is>
      </c>
      <c r="H6" s="11" t="n"/>
      <c r="I6" s="10" t="inlineStr">
        <is>
          <t>aberto</t>
        </is>
      </c>
      <c r="J6" s="12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RESET:1</t>
        </is>
      </c>
      <c r="D7" s="2" t="inlineStr">
        <is>
          <t>O pino RESET:1 tem 2 ligações diferentes: SIDEPANEL J1:P (folha SidePanel J1); SIDEPANEL J1:D (folha Buttons &amp; Switch).</t>
        </is>
      </c>
      <c r="E7" s="2" t="inlineStr">
        <is>
          <t>SIDEPANEL J1:P (folha SidePanel J1)</t>
        </is>
      </c>
      <c r="F7" s="2" t="inlineStr">
        <is>
          <t>SIDEPANEL J1:D (folha Buttons &amp; Switch)</t>
        </is>
      </c>
      <c r="G7" s="2" t="inlineStr">
        <is>
          <t>Ficaram todas — decidir qual é a certa e apagar as outras.</t>
        </is>
      </c>
      <c r="H7" s="11" t="n"/>
      <c r="I7" s="10" t="inlineStr">
        <is>
          <t>aberto</t>
        </is>
      </c>
      <c r="J7" s="12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M.S:2</t>
        </is>
      </c>
      <c r="D8" s="2" t="inlineStr">
        <is>
          <t>O pino M.S:2 tem 2 ligações diferentes: SIDEPANEL J1:R (folha SidePanel J1); SIDEPANEL J1:E (folha Buttons &amp; Switch).</t>
        </is>
      </c>
      <c r="E8" s="2" t="inlineStr">
        <is>
          <t>SIDEPANEL J1:R (folha SidePanel J1)</t>
        </is>
      </c>
      <c r="F8" s="2" t="inlineStr">
        <is>
          <t>SIDEPANEL J1:E (folha Buttons &amp; Switch)</t>
        </is>
      </c>
      <c r="G8" s="2" t="inlineStr">
        <is>
          <t>Ficaram todas — decidir qual é a certa e apagar as outras.</t>
        </is>
      </c>
      <c r="H8" s="11" t="n"/>
      <c r="I8" s="10" t="inlineStr">
        <is>
          <t>aberto</t>
        </is>
      </c>
      <c r="J8" s="12">
        <f>COUNTIF(Wires!$U$2:$U$1000,"*"&amp;A8&amp;"*")</f>
        <v/>
      </c>
    </row>
    <row r="9">
      <c r="A9" s="2" t="inlineStr">
        <is>
          <t>I-08</t>
        </is>
      </c>
      <c r="B9" s="2" t="inlineStr">
        <is>
          <t>crítico</t>
        </is>
      </c>
      <c r="C9" s="2" t="inlineStr">
        <is>
          <t>IGN A.:2</t>
        </is>
      </c>
      <c r="D9" s="2" t="inlineStr">
        <is>
          <t>O pino IGN A.:2 tem 2 ligações diferentes: SIDEPANEL J1:S (folha SidePanel J1); SIDEPANEL J1:F (folha Buttons &amp; Switch).</t>
        </is>
      </c>
      <c r="E9" s="2" t="inlineStr">
        <is>
          <t>SIDEPANEL J1:S (folha SidePanel J1)</t>
        </is>
      </c>
      <c r="F9" s="2" t="inlineStr">
        <is>
          <t>SIDEPANEL J1:F (folha Buttons &amp; Switch)</t>
        </is>
      </c>
      <c r="G9" s="2" t="inlineStr">
        <is>
          <t>Ficaram todas — decidir qual é a certa e apagar as outras.</t>
        </is>
      </c>
      <c r="H9" s="11" t="n"/>
      <c r="I9" s="10" t="inlineStr">
        <is>
          <t>aberto</t>
        </is>
      </c>
      <c r="J9" s="12">
        <f>COUNTIF(Wires!$U$2:$U$1000,"*"&amp;A9&amp;"*")</f>
        <v/>
      </c>
    </row>
    <row r="10">
      <c r="A10" s="2" t="inlineStr">
        <is>
          <t>I-09</t>
        </is>
      </c>
      <c r="B10" s="2" t="inlineStr">
        <is>
          <t>crítico</t>
        </is>
      </c>
      <c r="C10" s="2" t="inlineStr">
        <is>
          <t>RACE S.:2</t>
        </is>
      </c>
      <c r="D10" s="2" t="inlineStr">
        <is>
          <t>O pino RACE S.:2 tem 2 ligações diferentes: SIDEPANEL J1:T (folha SidePanel J1); SIDEPANEL J1:H (folha Buttons &amp; Switch).</t>
        </is>
      </c>
      <c r="E10" s="2" t="inlineStr">
        <is>
          <t>SIDEPANEL J1:T (folha SidePanel J1)</t>
        </is>
      </c>
      <c r="F10" s="2" t="inlineStr">
        <is>
          <t>SIDEPANEL J1:H (folha Buttons &amp; Switch)</t>
        </is>
      </c>
      <c r="G10" s="2" t="inlineStr">
        <is>
          <t>Ficaram todas — decidir qual é a certa e apagar as outras.</t>
        </is>
      </c>
      <c r="H10" s="11" t="n"/>
      <c r="I10" s="10" t="inlineStr">
        <is>
          <t>aberto</t>
        </is>
      </c>
      <c r="J10" s="12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crítico</t>
        </is>
      </c>
      <c r="C11" s="2" t="inlineStr">
        <is>
          <t>FUSE 2:1</t>
        </is>
      </c>
      <c r="D11" s="2" t="inlineStr">
        <is>
          <t>O pino FUSE 2:1 tem 2 ligações diferentes: SIDEPANEL J1:U (folha SidePanel J1); LVMS:2 (folha Buchins &amp; Banana Jacks).</t>
        </is>
      </c>
      <c r="E11" s="2" t="inlineStr">
        <is>
          <t>SIDEPANEL J1:U (folha SidePanel J1)</t>
        </is>
      </c>
      <c r="F11" s="2" t="inlineStr">
        <is>
          <t>LVMS:2 (folha Buchins &amp; Banana Jacks)</t>
        </is>
      </c>
      <c r="G11" s="2" t="inlineStr">
        <is>
          <t>Ficaram todas — decidir qual é a certa e apagar as outras.</t>
        </is>
      </c>
      <c r="H11" s="11" t="n"/>
      <c r="I11" s="10" t="inlineStr">
        <is>
          <t>aberto</t>
        </is>
      </c>
      <c r="J11" s="12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crítico</t>
        </is>
      </c>
      <c r="C12" s="2" t="inlineStr">
        <is>
          <t>FUSE 1:1</t>
        </is>
      </c>
      <c r="D12" s="2" t="inlineStr">
        <is>
          <t>O pino FUSE 1:1 tem 2 ligações diferentes: SIDEPANEL J1:V (folha SidePanel J1); LVMS:2 (folha Buchins &amp; Banana Jacks).</t>
        </is>
      </c>
      <c r="E12" s="2" t="inlineStr">
        <is>
          <t>SIDEPANEL J1:V (folha SidePanel J1)</t>
        </is>
      </c>
      <c r="F12" s="2" t="inlineStr">
        <is>
          <t>LVMS:2 (folha Buchins &amp; Banana Jacks)</t>
        </is>
      </c>
      <c r="G12" s="2" t="inlineStr">
        <is>
          <t>Ficaram todas — decidir qual é a certa e apagar as outras.</t>
        </is>
      </c>
      <c r="H12" s="11" t="n"/>
      <c r="I12" s="10" t="inlineStr">
        <is>
          <t>aberto</t>
        </is>
      </c>
      <c r="J12" s="12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crítico</t>
        </is>
      </c>
      <c r="C13" s="2" t="inlineStr">
        <is>
          <t>SIDEPANEL J1:D</t>
        </is>
      </c>
      <c r="D13" s="2" t="inlineStr">
        <is>
          <t>O pino SIDEPANEL J1:D tem 2 ligações diferentes: RESET:1 (folha Buttons &amp; Switch); ASMS:2 (folha Master Switch).</t>
        </is>
      </c>
      <c r="E13" s="2" t="inlineStr">
        <is>
          <t>RESET:1 (folha Buttons &amp; Switch)</t>
        </is>
      </c>
      <c r="F13" s="2" t="inlineStr">
        <is>
          <t>ASMS:2 (folha Master Switch)</t>
        </is>
      </c>
      <c r="G13" s="2" t="inlineStr">
        <is>
          <t>Ficaram todas — decidir qual é a certa e apagar as outras.</t>
        </is>
      </c>
      <c r="H13" s="11" t="n"/>
      <c r="I13" s="10" t="inlineStr">
        <is>
          <t>aberto</t>
        </is>
      </c>
      <c r="J13" s="12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crítico</t>
        </is>
      </c>
      <c r="C14" s="2" t="inlineStr">
        <is>
          <t>LVMS:2</t>
        </is>
      </c>
      <c r="D14" s="2" t="inlineStr">
        <is>
          <t>O pino LVMS:2 tem 3 ligações diferentes: SPL LVMS-2:S (folha Master Switch); FUSE 1:1 (folha Buchins &amp; Banana Jacks); FUSE 2:1 (folha Buchins &amp; Banana Jacks).</t>
        </is>
      </c>
      <c r="E14" s="2" t="inlineStr">
        <is>
          <t>SPL LVMS-2:S (folha Master Switch)</t>
        </is>
      </c>
      <c r="F14" s="2" t="inlineStr">
        <is>
          <t>FUSE 1:1 (folha Buchins &amp; Banana Jacks)</t>
        </is>
      </c>
      <c r="G14" s="2" t="inlineStr">
        <is>
          <t>Ficaram todas — decidir qual é a certa e apagar as outras.</t>
        </is>
      </c>
      <c r="H14" s="11" t="n"/>
      <c r="I14" s="10" t="inlineStr">
        <is>
          <t>aberto</t>
        </is>
      </c>
      <c r="J14" s="12">
        <f>COUNTIF(Wires!$U$2:$U$1000,"*"&amp;A14&amp;"*")</f>
        <v/>
      </c>
    </row>
    <row r="15">
      <c r="A15" s="2" t="inlineStr">
        <is>
          <t>I-14</t>
        </is>
      </c>
      <c r="B15" s="2" t="inlineStr">
        <is>
          <t>menor</t>
        </is>
      </c>
      <c r="C15" s="2" t="inlineStr">
        <is>
          <t>6 linha(s)</t>
        </is>
      </c>
      <c r="D15" s="2" t="inlineStr">
        <is>
          <t>Destino sem pino: RESET:2 → destino GND BJ sem pino (folha Buttons &amp; Switch); LVMS:1 → destino SIDEPANEL J2 sem pino (folha Master Switch); LVMS:2 → destino SIDEPANEL J2 sem pino (folha Master Switch); LVMS:2 → destino LV FUSE 1 sem pino (folha Master Switch); LVMS:2 → destino LV FUSE 2 sem pino (folha Master Switch); GND BJ:1 → destino TS CABEL sem pino (folha Buchins &amp; Banana Jacks)</t>
        </is>
      </c>
      <c r="E15" s="2" t="n"/>
      <c r="F15" s="2" t="n"/>
      <c r="G15" s="2" t="inlineStr">
        <is>
          <t>Pino marcado "?"</t>
        </is>
      </c>
      <c r="H15" s="11" t="n"/>
      <c r="I15" s="10" t="inlineStr">
        <is>
          <t>aberto</t>
        </is>
      </c>
      <c r="J15" s="12">
        <f>COUNTIF(Wires!$U$2:$U$1000,"*"&amp;A15&amp;"*")</f>
        <v/>
      </c>
    </row>
    <row r="16">
      <c r="A16" s="2" t="inlineStr">
        <is>
          <t>I-15</t>
        </is>
      </c>
      <c r="B16" s="2" t="inlineStr">
        <is>
          <t>menor</t>
        </is>
      </c>
      <c r="C16" s="2" t="inlineStr">
        <is>
          <t>nomes</t>
        </is>
      </c>
      <c r="D16" s="2" t="inlineStr">
        <is>
          <t>Nomes muito parecidos (gralha?): ASMS ~ TSMS</t>
        </is>
      </c>
      <c r="E16" s="2" t="n"/>
      <c r="F16" s="2" t="n"/>
      <c r="G16" s="2" t="n"/>
      <c r="H16" s="11" t="n"/>
      <c r="I16" s="10" t="inlineStr">
        <is>
          <t>aberto</t>
        </is>
      </c>
      <c r="J16" s="12">
        <f>COUNTIF(Wires!$U$2:$U$1000,"*"&amp;A16&amp;"*")</f>
        <v/>
      </c>
    </row>
    <row r="17">
      <c r="A17" s="2" t="inlineStr">
        <is>
          <t>I-16</t>
        </is>
      </c>
      <c r="B17" s="2" t="inlineStr">
        <is>
          <t>info</t>
        </is>
      </c>
      <c r="C17" s="2" t="inlineStr">
        <is>
          <t>destinos</t>
        </is>
      </c>
      <c r="D17" s="2" t="inlineStr">
        <is>
          <t>5 conector(es) só aparecem como destino, sem folha própria: BATTERY GND, LV FUSE 1, LV FUSE 2, SIDEPANEL J2, TS CABEL.</t>
        </is>
      </c>
      <c r="E17" s="2" t="n"/>
      <c r="F17" s="2" t="n"/>
      <c r="G17" s="2" t="n"/>
      <c r="H17" s="11" t="n"/>
      <c r="I17" s="10" t="inlineStr">
        <is>
          <t>aberto</t>
        </is>
      </c>
      <c r="J17" s="12">
        <f>COUNTIF(Wires!$U$2:$U$1000,"*"&amp;A17&amp;"*")</f>
        <v/>
      </c>
    </row>
    <row r="18">
      <c r="A18" s="2" t="inlineStr">
        <is>
          <t>I-17</t>
        </is>
      </c>
      <c r="B18" s="2" t="inlineStr">
        <is>
          <t>info</t>
        </is>
      </c>
      <c r="C18" s="2" t="inlineStr">
        <is>
          <t>reciprocidade</t>
        </is>
      </c>
      <c r="D18" s="2" t="inlineStr">
        <is>
          <t>21 fio(s) só estão escritos numa das pontas, embora as duas tenham folha: SIDEPANEL J1:L→TSMS:2, SIDEPANEL J1:M→ASMS:1, SIDEPANEL J1:N→ASMS:2, SIDEPANEL J1:P→RESET:1, SIDEPANEL J1:R→M.S:2, SIDEPANEL J1:S→IGN A.:2, SIDEPANEL J1:T→RACE S.:2, SIDEPANEL J1:U→FUSE 2:1, SIDEPANEL J1:V→FUSE 1:1, RESET:1→SIDEPANEL J1:D, RESET:2→GND BJ:?1, M.S:2→SIDEPANEL J1:E, IGN A.:2→SIDEPANEL J1:F, RACE S.:1→ASMS:1, RACE S.:2→SIDEPANEL J1:H, ASMS:2→SIDEPANEL J1:D, TSMS:2→SIDEPANEL J1:B, LVMS:2→FUSE 1:1, FUSE 1:2→SIDEPANEL J1:K, LVMS:2→FUSE 2:1 …</t>
        </is>
      </c>
      <c r="E18" s="2" t="n"/>
      <c r="F18" s="2" t="n"/>
      <c r="G18" s="2" t="n"/>
      <c r="H18" s="11" t="n"/>
      <c r="I18" s="10" t="inlineStr">
        <is>
          <t>aberto</t>
        </is>
      </c>
      <c r="J18" s="12">
        <f>COUNTIF(Wires!$U$2:$U$1000,"*"&amp;A18&amp;"*")</f>
        <v/>
      </c>
    </row>
    <row r="19">
      <c r="A19" s="2" t="inlineStr">
        <is>
          <t>I-18</t>
        </is>
      </c>
      <c r="B19" s="2" t="inlineStr">
        <is>
          <t>importante</t>
        </is>
      </c>
      <c r="C19" s="2" t="inlineStr">
        <is>
          <t>desenho RapidHarness</t>
        </is>
      </c>
      <c r="D19" s="2" t="inlineStr">
        <is>
          <t>O desenho tem 6 nome(s) que não existem no Excel: FUSE 1 +, FUSE 1 -, FUSE 2 +, FUSE 2 -, GND, LVMS1.</t>
        </is>
      </c>
      <c r="E19" s="2" t="inlineStr">
        <is>
          <t>Corrigir o Excel</t>
        </is>
      </c>
      <c r="F19" s="2" t="inlineStr">
        <is>
          <t>Corrigir o desenho</t>
        </is>
      </c>
      <c r="G19" s="2" t="inlineStr">
        <is>
          <t>Ficaram como nós do desenho (folha Nodes).</t>
        </is>
      </c>
      <c r="H19" s="11" t="n"/>
      <c r="I19" s="10" t="inlineStr">
        <is>
          <t>aberto</t>
        </is>
      </c>
      <c r="J19" s="12">
        <f>COUNTIF(Wires!$U$2:$U$1000,"*"&amp;A19&amp;"*")</f>
        <v/>
      </c>
    </row>
    <row r="20">
      <c r="A20" s="2" t="inlineStr">
        <is>
          <t>I-19</t>
        </is>
      </c>
      <c r="B20" s="2" t="inlineStr">
        <is>
          <t>menor</t>
        </is>
      </c>
      <c r="C20" s="2" t="inlineStr">
        <is>
          <t>desenho RapidHarness</t>
        </is>
      </c>
      <c r="D20" s="2" t="inlineStr">
        <is>
          <t>4 troço(s) sem comprimento no desenho: SIDEPANEL J2–BP1, GND–BP1, LVMS–BP1, +24V BJ–LVMS.</t>
        </is>
      </c>
      <c r="E20" s="2" t="n"/>
      <c r="F20" s="2" t="n"/>
      <c r="G20" s="2" t="inlineStr">
        <is>
          <t>Comprimento por preencher</t>
        </is>
      </c>
      <c r="H20" s="11" t="n"/>
      <c r="I20" s="10" t="inlineStr">
        <is>
          <t>aberto</t>
        </is>
      </c>
      <c r="J20" s="12">
        <f>COUNTIF(Wires!$U$2:$U$1000,"*"&amp;A20&amp;"*")</f>
        <v/>
      </c>
    </row>
  </sheetData>
  <autoFilter ref="A1:J20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10" t="inlineStr">
        <is>
          <t>Cores IEC 60757</t>
        </is>
      </c>
      <c r="E2" s="10" t="inlineStr">
        <is>
          <t>Secção → AWG (equivalência aproximada)</t>
        </is>
      </c>
    </row>
    <row r="3">
      <c r="A3" s="10" t="inlineStr">
        <is>
          <t>BK</t>
        </is>
      </c>
      <c r="B3" s="10" t="inlineStr">
        <is>
          <t>preto</t>
        </is>
      </c>
      <c r="C3" s="10" t="n"/>
      <c r="E3" s="10" t="n">
        <v>0.14</v>
      </c>
      <c r="F3" s="10" t="n">
        <v>26</v>
      </c>
    </row>
    <row r="4">
      <c r="A4" s="10" t="inlineStr">
        <is>
          <t>BN</t>
        </is>
      </c>
      <c r="B4" s="10" t="inlineStr">
        <is>
          <t>castanho</t>
        </is>
      </c>
      <c r="C4" s="10" t="inlineStr">
        <is>
          <t>GND</t>
        </is>
      </c>
      <c r="E4" s="10" t="n">
        <v>0.22</v>
      </c>
      <c r="F4" s="10" t="n">
        <v>24</v>
      </c>
    </row>
    <row r="5">
      <c r="A5" s="10" t="inlineStr">
        <is>
          <t>RD</t>
        </is>
      </c>
      <c r="B5" s="10" t="inlineStr">
        <is>
          <t>vermelho</t>
        </is>
      </c>
      <c r="C5" s="10" t="inlineStr">
        <is>
          <t>CAN H</t>
        </is>
      </c>
      <c r="E5" s="10" t="n">
        <v>0.35</v>
      </c>
      <c r="F5" s="10" t="n">
        <v>22</v>
      </c>
    </row>
    <row r="6">
      <c r="A6" s="10" t="inlineStr">
        <is>
          <t>OG</t>
        </is>
      </c>
      <c r="B6" s="10" t="inlineStr">
        <is>
          <t>laranja</t>
        </is>
      </c>
      <c r="C6" s="10" t="inlineStr">
        <is>
          <t>HV (obrigatório)</t>
        </is>
      </c>
      <c r="E6" s="10" t="n">
        <v>0.5</v>
      </c>
      <c r="F6" s="10" t="n">
        <v>20</v>
      </c>
    </row>
    <row r="7">
      <c r="A7" s="10" t="inlineStr">
        <is>
          <t>YE</t>
        </is>
      </c>
      <c r="B7" s="10" t="inlineStr">
        <is>
          <t>amarelo</t>
        </is>
      </c>
      <c r="C7" s="10" t="inlineStr">
        <is>
          <t>+24 V</t>
        </is>
      </c>
      <c r="E7" s="10" t="n">
        <v>0.75</v>
      </c>
      <c r="F7" s="10" t="n">
        <v>18</v>
      </c>
    </row>
    <row r="8">
      <c r="A8" s="10" t="inlineStr">
        <is>
          <t>GN</t>
        </is>
      </c>
      <c r="B8" s="10" t="inlineStr">
        <is>
          <t>verde</t>
        </is>
      </c>
      <c r="C8" s="10" t="inlineStr">
        <is>
          <t>CAN carregador H</t>
        </is>
      </c>
      <c r="E8" s="10" t="n">
        <v>1</v>
      </c>
      <c r="F8" s="10" t="n">
        <v>17</v>
      </c>
    </row>
    <row r="9">
      <c r="A9" s="10" t="inlineStr">
        <is>
          <t>BU</t>
        </is>
      </c>
      <c r="B9" s="10" t="inlineStr">
        <is>
          <t>azul</t>
        </is>
      </c>
      <c r="C9" s="10" t="inlineStr">
        <is>
          <t>SDC / CAN L</t>
        </is>
      </c>
      <c r="E9" s="10" t="n">
        <v>1.5</v>
      </c>
      <c r="F9" s="10" t="n">
        <v>16</v>
      </c>
    </row>
    <row r="10">
      <c r="A10" s="10" t="inlineStr">
        <is>
          <t>VT</t>
        </is>
      </c>
      <c r="B10" s="10" t="inlineStr">
        <is>
          <t>violeta</t>
        </is>
      </c>
      <c r="C10" s="10" t="inlineStr">
        <is>
          <t>CAN carregador L</t>
        </is>
      </c>
      <c r="E10" s="10" t="n">
        <v>2.5</v>
      </c>
      <c r="F10" s="10" t="n">
        <v>14</v>
      </c>
    </row>
    <row r="11">
      <c r="A11" s="10" t="inlineStr">
        <is>
          <t>GY</t>
        </is>
      </c>
      <c r="B11" s="10" t="inlineStr">
        <is>
          <t>cinzento</t>
        </is>
      </c>
      <c r="C11" s="10" t="n"/>
      <c r="E11" s="10" t="n">
        <v>4</v>
      </c>
      <c r="F11" s="10" t="n">
        <v>12</v>
      </c>
    </row>
    <row r="12">
      <c r="A12" s="10" t="inlineStr">
        <is>
          <t>WH</t>
        </is>
      </c>
      <c r="B12" s="10" t="inlineStr">
        <is>
          <t>branco</t>
        </is>
      </c>
      <c r="C12" s="10" t="inlineStr">
        <is>
          <t>sinal</t>
        </is>
      </c>
      <c r="E12" s="10" t="n">
        <v>6</v>
      </c>
      <c r="F12" s="10" t="n">
        <v>10</v>
      </c>
    </row>
    <row r="13">
      <c r="A13" s="10" t="inlineStr">
        <is>
          <t>PK</t>
        </is>
      </c>
      <c r="B13" s="10" t="inlineStr">
        <is>
          <t>rosa</t>
        </is>
      </c>
      <c r="C13" s="10" t="n"/>
      <c r="E13" s="10" t="n">
        <v>10</v>
      </c>
      <c r="F13" s="10" t="n">
        <v>8</v>
      </c>
    </row>
    <row r="14">
      <c r="A14" s="10" t="inlineStr">
        <is>
          <t>TQ</t>
        </is>
      </c>
      <c r="B14" s="10" t="inlineStr">
        <is>
          <t>turquesa</t>
        </is>
      </c>
      <c r="C14" s="10" t="n"/>
      <c r="E14" s="10" t="n">
        <v>16</v>
      </c>
      <c r="F14" s="10" t="n">
        <v>6</v>
      </c>
    </row>
    <row r="15">
      <c r="E15" s="10" t="n">
        <v>25</v>
      </c>
      <c r="F15" s="10" t="n">
        <v>4</v>
      </c>
    </row>
    <row r="16">
      <c r="E16" s="10" t="n">
        <v>35</v>
      </c>
      <c r="F16" s="10" t="n">
        <v>2</v>
      </c>
    </row>
    <row r="17">
      <c r="E17" s="10" t="n">
        <v>50</v>
      </c>
      <c r="F17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2026-10-22T22:33:30Z</dcterms:created>
  <dcterms:modified xsi:type="dcterms:W3CDTF">2026-10-22T22:33:30Z</dcterms:modified>
</cp:coreProperties>
</file>