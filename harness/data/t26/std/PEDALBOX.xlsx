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'Wires'!$A$1:$Z$29</definedName>
    <definedName name="_xlnm._FilterDatabase" localSheetId="2" hidden="1">'Connectors'!$A$1:$T$10</definedName>
    <definedName name="_xlnm._FilterDatabase" localSheetId="3" hidden="1">'Pins'!$A$1:$O$61</definedName>
    <definedName name="_xlnm._FilterDatabase" localSheetId="4" hidden="1">'Parts'!$A$1:$H$5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Pedal Box: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PedalBox_Harnes_Pinouts.xlsx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W-PEDALBOX-001</t>
        </is>
      </c>
      <c r="B2" s="9" t="inlineStr">
        <is>
          <t>PEDALBOX</t>
        </is>
      </c>
      <c r="C2" s="9" t="inlineStr">
        <is>
          <t>24V_IN</t>
        </is>
      </c>
      <c r="D2" s="9" t="inlineStr">
        <is>
          <t>ACQUISITION 1 J1</t>
        </is>
      </c>
      <c r="E2" s="9" t="inlineStr">
        <is>
          <t>1</t>
        </is>
      </c>
      <c r="F2" s="9" t="inlineStr">
        <is>
          <t>PEDALBOX J1</t>
        </is>
      </c>
      <c r="G2" s="9" t="inlineStr">
        <is>
          <t>A</t>
        </is>
      </c>
      <c r="H2" s="9" t="inlineStr">
        <is>
          <t>RD</t>
        </is>
      </c>
      <c r="I2" s="10" t="n"/>
      <c r="J2" s="11">
        <f>IF(I2="","",IFERROR(INDEX(Lists!$F$3:$F$17,MATCH(I2,Lists!$E$3:$E$17,0)),"?"))</f>
        <v/>
      </c>
      <c r="K2" s="9" t="inlineStr">
        <is>
          <t>N</t>
        </is>
      </c>
      <c r="L2" s="9" t="inlineStr">
        <is>
          <t>24V</t>
        </is>
      </c>
      <c r="M2" s="10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9" t="n"/>
      <c r="Q2" s="9" t="n"/>
      <c r="R2" s="10" t="n"/>
      <c r="S2" s="9" t="inlineStr">
        <is>
          <t>Power Supply from PDM</t>
        </is>
      </c>
      <c r="T2" s="9" t="inlineStr">
        <is>
          <t>1 ponta (folha Acquisition Board 1)</t>
        </is>
      </c>
      <c r="U2" s="9" t="n"/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9" t="n"/>
      <c r="Z2" s="9" t="n"/>
    </row>
    <row r="3">
      <c r="A3" s="9" t="inlineStr">
        <is>
          <t>W-PEDALBOX-002</t>
        </is>
      </c>
      <c r="B3" s="9" t="inlineStr">
        <is>
          <t>PEDALBOX</t>
        </is>
      </c>
      <c r="C3" s="9" t="inlineStr">
        <is>
          <t>GND_IN</t>
        </is>
      </c>
      <c r="D3" s="9" t="inlineStr">
        <is>
          <t>ACQUISITION 1 J1</t>
        </is>
      </c>
      <c r="E3" s="9" t="inlineStr">
        <is>
          <t>2</t>
        </is>
      </c>
      <c r="F3" s="9" t="inlineStr">
        <is>
          <t>PEDALBOX J1</t>
        </is>
      </c>
      <c r="G3" s="9" t="inlineStr">
        <is>
          <t>B</t>
        </is>
      </c>
      <c r="H3" s="9" t="inlineStr">
        <is>
          <t>BK</t>
        </is>
      </c>
      <c r="I3" s="10" t="n"/>
      <c r="J3" s="11">
        <f>IF(I3="","",IFERROR(INDEX(Lists!$F$3:$F$17,MATCH(I3,Lists!$E$3:$E$17,0)),"?"))</f>
        <v/>
      </c>
      <c r="K3" s="9" t="inlineStr">
        <is>
          <t>N</t>
        </is>
      </c>
      <c r="L3" s="9" t="inlineStr">
        <is>
          <t>0V</t>
        </is>
      </c>
      <c r="M3" s="10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9" t="n"/>
      <c r="Q3" s="9" t="n"/>
      <c r="R3" s="10" t="n"/>
      <c r="S3" s="9" t="inlineStr">
        <is>
          <t>Ground Supply</t>
        </is>
      </c>
      <c r="T3" s="9" t="inlineStr">
        <is>
          <t>1 ponta (folha Acquisition Board 1)</t>
        </is>
      </c>
      <c r="U3" s="9" t="n"/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9" t="n"/>
      <c r="Z3" s="9" t="n"/>
    </row>
    <row r="4">
      <c r="A4" s="9" t="inlineStr">
        <is>
          <t>W-PEDALBOX-003</t>
        </is>
      </c>
      <c r="B4" s="9" t="inlineStr">
        <is>
          <t>PEDALBOX</t>
        </is>
      </c>
      <c r="C4" s="9" t="inlineStr">
        <is>
          <t>CAN_AUT_L</t>
        </is>
      </c>
      <c r="D4" s="9" t="inlineStr">
        <is>
          <t>ACQUISITION 1 J1</t>
        </is>
      </c>
      <c r="E4" s="9" t="inlineStr">
        <is>
          <t>3</t>
        </is>
      </c>
      <c r="F4" s="9" t="inlineStr">
        <is>
          <t>PEDALBOX J1</t>
        </is>
      </c>
      <c r="G4" s="9" t="inlineStr">
        <is>
          <t>C</t>
        </is>
      </c>
      <c r="H4" s="9" t="inlineStr">
        <is>
          <t>BU</t>
        </is>
      </c>
      <c r="I4" s="10" t="n"/>
      <c r="J4" s="11">
        <f>IF(I4="","",IFERROR(INDEX(Lists!$F$3:$F$17,MATCH(I4,Lists!$E$3:$E$17,0)),"?"))</f>
        <v/>
      </c>
      <c r="K4" s="9" t="inlineStr">
        <is>
          <t>N</t>
        </is>
      </c>
      <c r="L4" s="9" t="inlineStr">
        <is>
          <t>5V</t>
        </is>
      </c>
      <c r="M4" s="10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9" t="n"/>
      <c r="Q4" s="9" t="n"/>
      <c r="R4" s="10" t="n"/>
      <c r="S4" s="9" t="inlineStr">
        <is>
          <t>Autonomous CAN Bus</t>
        </is>
      </c>
      <c r="T4" s="9" t="inlineStr">
        <is>
          <t>1 ponta (folha Acquisition Board 1)</t>
        </is>
      </c>
      <c r="U4" s="9" t="n"/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9" t="n"/>
      <c r="Z4" s="9" t="n"/>
    </row>
    <row r="5">
      <c r="A5" s="9" t="inlineStr">
        <is>
          <t>W-PEDALBOX-004</t>
        </is>
      </c>
      <c r="B5" s="9" t="inlineStr">
        <is>
          <t>PEDALBOX</t>
        </is>
      </c>
      <c r="C5" s="9" t="inlineStr">
        <is>
          <t>CAN_PWT_L</t>
        </is>
      </c>
      <c r="D5" s="9" t="inlineStr">
        <is>
          <t>ACQUISITION 1 J1</t>
        </is>
      </c>
      <c r="E5" s="9" t="inlineStr">
        <is>
          <t>4</t>
        </is>
      </c>
      <c r="F5" s="9" t="inlineStr">
        <is>
          <t>PEDALBOX J1</t>
        </is>
      </c>
      <c r="G5" s="9" t="inlineStr">
        <is>
          <t>D</t>
        </is>
      </c>
      <c r="H5" s="9" t="inlineStr">
        <is>
          <t>RD</t>
        </is>
      </c>
      <c r="I5" s="10" t="n"/>
      <c r="J5" s="11">
        <f>IF(I5="","",IFERROR(INDEX(Lists!$F$3:$F$17,MATCH(I5,Lists!$E$3:$E$17,0)),"?"))</f>
        <v/>
      </c>
      <c r="K5" s="9" t="inlineStr">
        <is>
          <t>N</t>
        </is>
      </c>
      <c r="L5" s="9" t="inlineStr">
        <is>
          <t>5V</t>
        </is>
      </c>
      <c r="M5" s="10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9" t="n"/>
      <c r="Q5" s="9" t="n"/>
      <c r="R5" s="10" t="n"/>
      <c r="S5" s="9" t="inlineStr">
        <is>
          <t>PowerTrain CAN Bus</t>
        </is>
      </c>
      <c r="T5" s="9" t="inlineStr">
        <is>
          <t>1 ponta (folha Acquisition Board 1)</t>
        </is>
      </c>
      <c r="U5" s="9" t="n"/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9" t="n"/>
      <c r="Z5" s="9" t="n"/>
    </row>
    <row r="6">
      <c r="A6" s="9" t="inlineStr">
        <is>
          <t>W-PEDALBOX-005</t>
        </is>
      </c>
      <c r="B6" s="9" t="inlineStr">
        <is>
          <t>PEDALBOX</t>
        </is>
      </c>
      <c r="C6" s="9" t="inlineStr">
        <is>
          <t>CAN_AUT_H</t>
        </is>
      </c>
      <c r="D6" s="9" t="inlineStr">
        <is>
          <t>ACQUISITION 1 J1</t>
        </is>
      </c>
      <c r="E6" s="9" t="inlineStr">
        <is>
          <t>5</t>
        </is>
      </c>
      <c r="F6" s="9" t="inlineStr">
        <is>
          <t>PEDALBOX J1</t>
        </is>
      </c>
      <c r="G6" s="9" t="inlineStr">
        <is>
          <t>E</t>
        </is>
      </c>
      <c r="H6" s="9" t="inlineStr">
        <is>
          <t>BU/WH</t>
        </is>
      </c>
      <c r="I6" s="10" t="n"/>
      <c r="J6" s="11">
        <f>IF(I6="","",IFERROR(INDEX(Lists!$F$3:$F$17,MATCH(I6,Lists!$E$3:$E$17,0)),"?"))</f>
        <v/>
      </c>
      <c r="K6" s="9" t="inlineStr">
        <is>
          <t>N</t>
        </is>
      </c>
      <c r="L6" s="9" t="inlineStr">
        <is>
          <t>5V</t>
        </is>
      </c>
      <c r="M6" s="10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9" t="n"/>
      <c r="Q6" s="9" t="n"/>
      <c r="R6" s="10" t="n"/>
      <c r="S6" s="9" t="inlineStr">
        <is>
          <t>Autonomous CAN Bus</t>
        </is>
      </c>
      <c r="T6" s="9" t="inlineStr">
        <is>
          <t>1 ponta (folha Acquisition Board 1)</t>
        </is>
      </c>
      <c r="U6" s="9" t="n"/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9" t="n"/>
      <c r="Z6" s="9" t="n"/>
    </row>
    <row r="7">
      <c r="A7" s="9" t="inlineStr">
        <is>
          <t>W-PEDALBOX-006</t>
        </is>
      </c>
      <c r="B7" s="9" t="inlineStr">
        <is>
          <t>PEDALBOX</t>
        </is>
      </c>
      <c r="C7" s="9" t="inlineStr">
        <is>
          <t>CAN_PWT_H</t>
        </is>
      </c>
      <c r="D7" s="9" t="inlineStr">
        <is>
          <t>ACQUISITION 1 J1</t>
        </is>
      </c>
      <c r="E7" s="9" t="inlineStr">
        <is>
          <t>6</t>
        </is>
      </c>
      <c r="F7" s="9" t="inlineStr">
        <is>
          <t>PEDALBOX J1</t>
        </is>
      </c>
      <c r="G7" s="9" t="inlineStr">
        <is>
          <t>F</t>
        </is>
      </c>
      <c r="H7" s="9" t="inlineStr">
        <is>
          <t>BU</t>
        </is>
      </c>
      <c r="I7" s="10" t="n"/>
      <c r="J7" s="11">
        <f>IF(I7="","",IFERROR(INDEX(Lists!$F$3:$F$17,MATCH(I7,Lists!$E$3:$E$17,0)),"?"))</f>
        <v/>
      </c>
      <c r="K7" s="9" t="inlineStr">
        <is>
          <t>N</t>
        </is>
      </c>
      <c r="L7" s="9" t="inlineStr">
        <is>
          <t>5V</t>
        </is>
      </c>
      <c r="M7" s="10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9" t="n"/>
      <c r="Q7" s="9" t="n"/>
      <c r="R7" s="10" t="n"/>
      <c r="S7" s="9" t="inlineStr">
        <is>
          <t>PowerTrain CAN Bus</t>
        </is>
      </c>
      <c r="T7" s="9" t="inlineStr">
        <is>
          <t>1 ponta (folha Acquisition Board 1)</t>
        </is>
      </c>
      <c r="U7" s="9" t="n"/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9" t="n"/>
      <c r="Z7" s="9" t="n"/>
    </row>
    <row r="8">
      <c r="A8" s="12" t="inlineStr">
        <is>
          <t>W-PEDALBOX-007</t>
        </is>
      </c>
      <c r="B8" s="9" t="inlineStr">
        <is>
          <t>PEDALBOX</t>
        </is>
      </c>
      <c r="C8" s="9" t="inlineStr">
        <is>
          <t>APPS1</t>
        </is>
      </c>
      <c r="D8" s="9" t="inlineStr">
        <is>
          <t>ACQUISITION 1 J2</t>
        </is>
      </c>
      <c r="E8" s="9" t="inlineStr">
        <is>
          <t>1</t>
        </is>
      </c>
      <c r="F8" s="9" t="inlineStr">
        <is>
          <t>PEDALBOX J1</t>
        </is>
      </c>
      <c r="G8" s="9" t="inlineStr">
        <is>
          <t>H</t>
        </is>
      </c>
      <c r="H8" s="9" t="inlineStr">
        <is>
          <t>WH</t>
        </is>
      </c>
      <c r="I8" s="10" t="n"/>
      <c r="J8" s="11">
        <f>IF(I8="","",IFERROR(INDEX(Lists!$F$3:$F$17,MATCH(I8,Lists!$E$3:$E$17,0)),"?"))</f>
        <v/>
      </c>
      <c r="K8" s="9" t="inlineStr">
        <is>
          <t>N</t>
        </is>
      </c>
      <c r="L8" s="9" t="inlineStr">
        <is>
          <t>Signal</t>
        </is>
      </c>
      <c r="M8" s="10" t="n"/>
      <c r="N8" s="11">
        <f>IF(D8="","",IFERROR(INDEX(Connectors!$J$2:$J$1000,MATCH(D8,Connectors!$A$2:$A$1000,0))&amp;"",""))</f>
        <v/>
      </c>
      <c r="O8" s="11">
        <f>IF(F8="","",IFERROR(INDEX(Connectors!$J$2:$J$1000,MATCH(F8,Connectors!$A$2:$A$1000,0))&amp;"",""))</f>
        <v/>
      </c>
      <c r="P8" s="9" t="n"/>
      <c r="Q8" s="9" t="n"/>
      <c r="R8" s="10" t="n"/>
      <c r="S8" s="9" t="inlineStr">
        <is>
          <t>APPS1 Analog Signal</t>
        </is>
      </c>
      <c r="T8" s="9" t="inlineStr">
        <is>
          <t>1 ponta (folha Acquisition Board 1)</t>
        </is>
      </c>
      <c r="U8" s="12" t="inlineStr">
        <is>
          <t>I-01</t>
        </is>
      </c>
      <c r="V8" s="11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1">
        <f>IF(D8="","",D8&amp;":"&amp;E8&amp;IF(EXACT(E8,UPPER(E8)),"","|lc"))</f>
        <v/>
      </c>
      <c r="X8" s="11">
        <f>IF(F8="","",F8&amp;":"&amp;G8&amp;IF(EXACT(G8,UPPER(G8)),"","|lc"))</f>
        <v/>
      </c>
      <c r="Y8" s="9" t="n"/>
      <c r="Z8" s="9" t="n"/>
    </row>
    <row r="9">
      <c r="A9" s="12" t="inlineStr">
        <is>
          <t>W-PEDALBOX-008</t>
        </is>
      </c>
      <c r="B9" s="9" t="inlineStr">
        <is>
          <t>PEDALBOX</t>
        </is>
      </c>
      <c r="C9" s="9" t="inlineStr">
        <is>
          <t>APPS2</t>
        </is>
      </c>
      <c r="D9" s="9" t="inlineStr">
        <is>
          <t>ACQUISITION 1 J2</t>
        </is>
      </c>
      <c r="E9" s="9" t="inlineStr">
        <is>
          <t>3</t>
        </is>
      </c>
      <c r="F9" s="9" t="inlineStr">
        <is>
          <t>PEDALBOX J1</t>
        </is>
      </c>
      <c r="G9" s="9" t="inlineStr">
        <is>
          <t>K</t>
        </is>
      </c>
      <c r="H9" s="9" t="inlineStr">
        <is>
          <t>WH</t>
        </is>
      </c>
      <c r="I9" s="10" t="n"/>
      <c r="J9" s="11">
        <f>IF(I9="","",IFERROR(INDEX(Lists!$F$3:$F$17,MATCH(I9,Lists!$E$3:$E$17,0)),"?"))</f>
        <v/>
      </c>
      <c r="K9" s="9" t="inlineStr">
        <is>
          <t>N</t>
        </is>
      </c>
      <c r="L9" s="9" t="inlineStr">
        <is>
          <t>Signal</t>
        </is>
      </c>
      <c r="M9" s="10" t="n"/>
      <c r="N9" s="11">
        <f>IF(D9="","",IFERROR(INDEX(Connectors!$J$2:$J$1000,MATCH(D9,Connectors!$A$2:$A$1000,0))&amp;"",""))</f>
        <v/>
      </c>
      <c r="O9" s="11">
        <f>IF(F9="","",IFERROR(INDEX(Connectors!$J$2:$J$1000,MATCH(F9,Connectors!$A$2:$A$1000,0))&amp;"",""))</f>
        <v/>
      </c>
      <c r="P9" s="9" t="n"/>
      <c r="Q9" s="9" t="n"/>
      <c r="R9" s="10" t="n"/>
      <c r="S9" s="9" t="inlineStr">
        <is>
          <t>APPS2 Analog Signal</t>
        </is>
      </c>
      <c r="T9" s="9" t="inlineStr">
        <is>
          <t>1 ponta (folha Acquisition Board 1)</t>
        </is>
      </c>
      <c r="U9" s="12" t="inlineStr">
        <is>
          <t>I-02</t>
        </is>
      </c>
      <c r="V9" s="11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1">
        <f>IF(D9="","",D9&amp;":"&amp;E9&amp;IF(EXACT(E9,UPPER(E9)),"","|lc"))</f>
        <v/>
      </c>
      <c r="X9" s="11">
        <f>IF(F9="","",F9&amp;":"&amp;G9&amp;IF(EXACT(G9,UPPER(G9)),"","|lc"))</f>
        <v/>
      </c>
      <c r="Y9" s="9" t="n"/>
      <c r="Z9" s="9" t="n"/>
    </row>
    <row r="10">
      <c r="A10" s="12" t="inlineStr">
        <is>
          <t>W-PEDALBOX-009</t>
        </is>
      </c>
      <c r="B10" s="9" t="inlineStr">
        <is>
          <t>PEDALBOX</t>
        </is>
      </c>
      <c r="C10" s="9" t="inlineStr">
        <is>
          <t>BRK_PRESS</t>
        </is>
      </c>
      <c r="D10" s="9" t="inlineStr">
        <is>
          <t>ACQUISITION 1 J2</t>
        </is>
      </c>
      <c r="E10" s="9" t="inlineStr">
        <is>
          <t>5</t>
        </is>
      </c>
      <c r="F10" s="9" t="inlineStr">
        <is>
          <t>PEDALBOX J1</t>
        </is>
      </c>
      <c r="G10" s="9" t="inlineStr">
        <is>
          <t>N</t>
        </is>
      </c>
      <c r="H10" s="9" t="inlineStr">
        <is>
          <t>WH</t>
        </is>
      </c>
      <c r="I10" s="10" t="n"/>
      <c r="J10" s="11">
        <f>IF(I10="","",IFERROR(INDEX(Lists!$F$3:$F$17,MATCH(I10,Lists!$E$3:$E$17,0)),"?"))</f>
        <v/>
      </c>
      <c r="K10" s="9" t="inlineStr">
        <is>
          <t>N</t>
        </is>
      </c>
      <c r="L10" s="9" t="inlineStr">
        <is>
          <t>Signal</t>
        </is>
      </c>
      <c r="M10" s="10" t="n"/>
      <c r="N10" s="11">
        <f>IF(D10="","",IFERROR(INDEX(Connectors!$J$2:$J$1000,MATCH(D10,Connectors!$A$2:$A$1000,0))&amp;"",""))</f>
        <v/>
      </c>
      <c r="O10" s="11">
        <f>IF(F10="","",IFERROR(INDEX(Connectors!$J$2:$J$1000,MATCH(F10,Connectors!$A$2:$A$1000,0))&amp;"",""))</f>
        <v/>
      </c>
      <c r="P10" s="9" t="n"/>
      <c r="Q10" s="9" t="n"/>
      <c r="R10" s="10" t="n"/>
      <c r="S10" s="9" t="inlineStr">
        <is>
          <t>Hydraulic Front Brake Pressure</t>
        </is>
      </c>
      <c r="T10" s="9" t="inlineStr">
        <is>
          <t>1 ponta (folha Acquisition Board 1)</t>
        </is>
      </c>
      <c r="U10" s="12" t="inlineStr">
        <is>
          <t>I-03</t>
        </is>
      </c>
      <c r="V10" s="11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1">
        <f>IF(D10="","",D10&amp;":"&amp;E10&amp;IF(EXACT(E10,UPPER(E10)),"","|lc"))</f>
        <v/>
      </c>
      <c r="X10" s="11">
        <f>IF(F10="","",F10&amp;":"&amp;G10&amp;IF(EXACT(G10,UPPER(G10)),"","|lc"))</f>
        <v/>
      </c>
      <c r="Y10" s="9" t="n"/>
      <c r="Z10" s="9" t="n"/>
    </row>
    <row r="11">
      <c r="A11" s="12" t="inlineStr">
        <is>
          <t>W-PEDALBOX-010</t>
        </is>
      </c>
      <c r="B11" s="9" t="inlineStr">
        <is>
          <t>PEDALBOX</t>
        </is>
      </c>
      <c r="C11" s="9" t="inlineStr">
        <is>
          <t>RES</t>
        </is>
      </c>
      <c r="D11" s="9" t="inlineStr">
        <is>
          <t>ACQUISITION 1 J2</t>
        </is>
      </c>
      <c r="E11" s="9" t="inlineStr">
        <is>
          <t>6</t>
        </is>
      </c>
      <c r="F11" s="9" t="inlineStr">
        <is>
          <t>PEDALBOX J1</t>
        </is>
      </c>
      <c r="G11" s="9" t="inlineStr">
        <is>
          <t>P</t>
        </is>
      </c>
      <c r="H11" s="9" t="inlineStr">
        <is>
          <t>VT</t>
        </is>
      </c>
      <c r="I11" s="10" t="n"/>
      <c r="J11" s="11">
        <f>IF(I11="","",IFERROR(INDEX(Lists!$F$3:$F$17,MATCH(I11,Lists!$E$3:$E$17,0)),"?"))</f>
        <v/>
      </c>
      <c r="K11" s="9" t="inlineStr">
        <is>
          <t>N</t>
        </is>
      </c>
      <c r="L11" s="9" t="inlineStr">
        <is>
          <t>24V</t>
        </is>
      </c>
      <c r="M11" s="10" t="n"/>
      <c r="N11" s="11">
        <f>IF(D11="","",IFERROR(INDEX(Connectors!$J$2:$J$1000,MATCH(D11,Connectors!$A$2:$A$1000,0))&amp;"",""))</f>
        <v/>
      </c>
      <c r="O11" s="11">
        <f>IF(F11="","",IFERROR(INDEX(Connectors!$J$2:$J$1000,MATCH(F11,Connectors!$A$2:$A$1000,0))&amp;"",""))</f>
        <v/>
      </c>
      <c r="P11" s="9" t="n"/>
      <c r="Q11" s="9" t="n"/>
      <c r="R11" s="10" t="n"/>
      <c r="S11" s="9" t="inlineStr">
        <is>
          <t>RES Shutdown Circuit Measure Point</t>
        </is>
      </c>
      <c r="T11" s="9" t="inlineStr">
        <is>
          <t>1 ponta (folha Acquisition Board 1)</t>
        </is>
      </c>
      <c r="U11" s="12" t="inlineStr">
        <is>
          <t>I-04</t>
        </is>
      </c>
      <c r="V11" s="11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1">
        <f>IF(D11="","",D11&amp;":"&amp;E11&amp;IF(EXACT(E11,UPPER(E11)),"","|lc"))</f>
        <v/>
      </c>
      <c r="X11" s="11">
        <f>IF(F11="","",F11&amp;":"&amp;G11&amp;IF(EXACT(G11,UPPER(G11)),"","|lc"))</f>
        <v/>
      </c>
      <c r="Y11" s="9" t="n"/>
      <c r="Z11" s="9" t="n"/>
    </row>
    <row r="12">
      <c r="A12" s="12" t="inlineStr">
        <is>
          <t>W-PEDALBOX-011</t>
        </is>
      </c>
      <c r="B12" s="9" t="inlineStr">
        <is>
          <t>PEDALBOX</t>
        </is>
      </c>
      <c r="C12" s="9" t="inlineStr">
        <is>
          <t>BOTS</t>
        </is>
      </c>
      <c r="D12" s="9" t="inlineStr">
        <is>
          <t>ACQUISITION 1 J2</t>
        </is>
      </c>
      <c r="E12" s="9" t="inlineStr">
        <is>
          <t>8</t>
        </is>
      </c>
      <c r="F12" s="9" t="inlineStr">
        <is>
          <t>PEDALBOX J1</t>
        </is>
      </c>
      <c r="G12" s="9" t="inlineStr">
        <is>
          <t>Q</t>
        </is>
      </c>
      <c r="H12" s="9" t="inlineStr">
        <is>
          <t>VT</t>
        </is>
      </c>
      <c r="I12" s="10" t="n"/>
      <c r="J12" s="11">
        <f>IF(I12="","",IFERROR(INDEX(Lists!$F$3:$F$17,MATCH(I12,Lists!$E$3:$E$17,0)),"?"))</f>
        <v/>
      </c>
      <c r="K12" s="9" t="inlineStr">
        <is>
          <t>N</t>
        </is>
      </c>
      <c r="L12" s="9" t="inlineStr">
        <is>
          <t>24V</t>
        </is>
      </c>
      <c r="M12" s="10" t="n"/>
      <c r="N12" s="11">
        <f>IF(D12="","",IFERROR(INDEX(Connectors!$J$2:$J$1000,MATCH(D12,Connectors!$A$2:$A$1000,0))&amp;"",""))</f>
        <v/>
      </c>
      <c r="O12" s="11">
        <f>IF(F12="","",IFERROR(INDEX(Connectors!$J$2:$J$1000,MATCH(F12,Connectors!$A$2:$A$1000,0))&amp;"",""))</f>
        <v/>
      </c>
      <c r="P12" s="9" t="n"/>
      <c r="Q12" s="9" t="n"/>
      <c r="R12" s="10" t="n"/>
      <c r="S12" s="9" t="inlineStr">
        <is>
          <t>BOTS Shutdown Circuit Measure Point</t>
        </is>
      </c>
      <c r="T12" s="9" t="inlineStr">
        <is>
          <t>1 ponta (folha Acquisition Board 1)</t>
        </is>
      </c>
      <c r="U12" s="12" t="inlineStr">
        <is>
          <t>I-05</t>
        </is>
      </c>
      <c r="V12" s="11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1">
        <f>IF(D12="","",D12&amp;":"&amp;E12&amp;IF(EXACT(E12,UPPER(E12)),"","|lc"))</f>
        <v/>
      </c>
      <c r="X12" s="11">
        <f>IF(F12="","",F12&amp;":"&amp;G12&amp;IF(EXACT(G12,UPPER(G12)),"","|lc"))</f>
        <v/>
      </c>
      <c r="Y12" s="9" t="n"/>
      <c r="Z12" s="9" t="n"/>
    </row>
    <row r="13">
      <c r="A13" s="12" t="inlineStr">
        <is>
          <t>W-PEDALBOX-012</t>
        </is>
      </c>
      <c r="B13" s="9" t="inlineStr">
        <is>
          <t>PEDALBOX</t>
        </is>
      </c>
      <c r="C13" s="9" t="inlineStr">
        <is>
          <t>APPS1_SUPPLY</t>
        </is>
      </c>
      <c r="D13" s="9" t="inlineStr">
        <is>
          <t>ACQUISITION 1 J3</t>
        </is>
      </c>
      <c r="E13" s="9" t="inlineStr">
        <is>
          <t>1</t>
        </is>
      </c>
      <c r="F13" s="9" t="inlineStr">
        <is>
          <t>PEDALBOX J1</t>
        </is>
      </c>
      <c r="G13" s="9" t="inlineStr">
        <is>
          <t>G</t>
        </is>
      </c>
      <c r="H13" s="9" t="inlineStr">
        <is>
          <t>YE</t>
        </is>
      </c>
      <c r="I13" s="10" t="n"/>
      <c r="J13" s="11">
        <f>IF(I13="","",IFERROR(INDEX(Lists!$F$3:$F$17,MATCH(I13,Lists!$E$3:$E$17,0)),"?"))</f>
        <v/>
      </c>
      <c r="K13" s="9" t="inlineStr">
        <is>
          <t>N</t>
        </is>
      </c>
      <c r="L13" s="9" t="inlineStr">
        <is>
          <t>5V</t>
        </is>
      </c>
      <c r="M13" s="10" t="n"/>
      <c r="N13" s="11">
        <f>IF(D13="","",IFERROR(INDEX(Connectors!$J$2:$J$1000,MATCH(D13,Connectors!$A$2:$A$1000,0))&amp;"",""))</f>
        <v/>
      </c>
      <c r="O13" s="11">
        <f>IF(F13="","",IFERROR(INDEX(Connectors!$J$2:$J$1000,MATCH(F13,Connectors!$A$2:$A$1000,0))&amp;"",""))</f>
        <v/>
      </c>
      <c r="P13" s="9" t="n"/>
      <c r="Q13" s="9" t="n"/>
      <c r="R13" s="10" t="n"/>
      <c r="S13" s="9" t="inlineStr">
        <is>
          <t>APPS1 Supply Voltage</t>
        </is>
      </c>
      <c r="T13" s="9" t="inlineStr">
        <is>
          <t>1 ponta (folha Acquisition Board 1)</t>
        </is>
      </c>
      <c r="U13" s="12" t="inlineStr">
        <is>
          <t>I-06</t>
        </is>
      </c>
      <c r="V13" s="11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1">
        <f>IF(D13="","",D13&amp;":"&amp;E13&amp;IF(EXACT(E13,UPPER(E13)),"","|lc"))</f>
        <v/>
      </c>
      <c r="X13" s="11">
        <f>IF(F13="","",F13&amp;":"&amp;G13&amp;IF(EXACT(G13,UPPER(G13)),"","|lc"))</f>
        <v/>
      </c>
      <c r="Y13" s="9" t="n"/>
      <c r="Z13" s="9" t="n"/>
    </row>
    <row r="14">
      <c r="A14" s="12" t="inlineStr">
        <is>
          <t>W-PEDALBOX-013</t>
        </is>
      </c>
      <c r="B14" s="9" t="inlineStr">
        <is>
          <t>PEDALBOX</t>
        </is>
      </c>
      <c r="C14" s="9" t="inlineStr">
        <is>
          <t>APPS2_SUPPLY</t>
        </is>
      </c>
      <c r="D14" s="9" t="inlineStr">
        <is>
          <t>ACQUISITION 1 J3</t>
        </is>
      </c>
      <c r="E14" s="9" t="inlineStr">
        <is>
          <t>2</t>
        </is>
      </c>
      <c r="F14" s="9" t="inlineStr">
        <is>
          <t>PEDALBOX J1</t>
        </is>
      </c>
      <c r="G14" s="9" t="inlineStr">
        <is>
          <t>J</t>
        </is>
      </c>
      <c r="H14" s="9" t="inlineStr">
        <is>
          <t>YE</t>
        </is>
      </c>
      <c r="I14" s="10" t="n"/>
      <c r="J14" s="11">
        <f>IF(I14="","",IFERROR(INDEX(Lists!$F$3:$F$17,MATCH(I14,Lists!$E$3:$E$17,0)),"?"))</f>
        <v/>
      </c>
      <c r="K14" s="9" t="inlineStr">
        <is>
          <t>N</t>
        </is>
      </c>
      <c r="L14" s="9" t="inlineStr">
        <is>
          <t>5V</t>
        </is>
      </c>
      <c r="M14" s="10" t="n"/>
      <c r="N14" s="11">
        <f>IF(D14="","",IFERROR(INDEX(Connectors!$J$2:$J$1000,MATCH(D14,Connectors!$A$2:$A$1000,0))&amp;"",""))</f>
        <v/>
      </c>
      <c r="O14" s="11">
        <f>IF(F14="","",IFERROR(INDEX(Connectors!$J$2:$J$1000,MATCH(F14,Connectors!$A$2:$A$1000,0))&amp;"",""))</f>
        <v/>
      </c>
      <c r="P14" s="9" t="n"/>
      <c r="Q14" s="9" t="n"/>
      <c r="R14" s="10" t="n"/>
      <c r="S14" s="9" t="inlineStr">
        <is>
          <t>APPS2 Supply Voltage</t>
        </is>
      </c>
      <c r="T14" s="9" t="inlineStr">
        <is>
          <t>1 ponta (folha Acquisition Board 1)</t>
        </is>
      </c>
      <c r="U14" s="12" t="inlineStr">
        <is>
          <t>I-07</t>
        </is>
      </c>
      <c r="V14" s="11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1">
        <f>IF(D14="","",D14&amp;":"&amp;E14&amp;IF(EXACT(E14,UPPER(E14)),"","|lc"))</f>
        <v/>
      </c>
      <c r="X14" s="11">
        <f>IF(F14="","",F14&amp;":"&amp;G14&amp;IF(EXACT(G14,UPPER(G14)),"","|lc"))</f>
        <v/>
      </c>
      <c r="Y14" s="9" t="n"/>
      <c r="Z14" s="9" t="n"/>
    </row>
    <row r="15">
      <c r="A15" s="12" t="inlineStr">
        <is>
          <t>W-PEDALBOX-014</t>
        </is>
      </c>
      <c r="B15" s="9" t="inlineStr">
        <is>
          <t>PEDALBOX</t>
        </is>
      </c>
      <c r="C15" s="9" t="inlineStr">
        <is>
          <t>BRK_PRESS_SUPPLY</t>
        </is>
      </c>
      <c r="D15" s="9" t="inlineStr">
        <is>
          <t>ACQUISITION 1 J3</t>
        </is>
      </c>
      <c r="E15" s="9" t="inlineStr">
        <is>
          <t>3</t>
        </is>
      </c>
      <c r="F15" s="9" t="inlineStr">
        <is>
          <t>PEDALBOX J1</t>
        </is>
      </c>
      <c r="G15" s="9" t="inlineStr">
        <is>
          <t>M</t>
        </is>
      </c>
      <c r="H15" s="9" t="inlineStr">
        <is>
          <t>YE</t>
        </is>
      </c>
      <c r="I15" s="10" t="n"/>
      <c r="J15" s="11">
        <f>IF(I15="","",IFERROR(INDEX(Lists!$F$3:$F$17,MATCH(I15,Lists!$E$3:$E$17,0)),"?"))</f>
        <v/>
      </c>
      <c r="K15" s="9" t="inlineStr">
        <is>
          <t>N</t>
        </is>
      </c>
      <c r="L15" s="9" t="inlineStr">
        <is>
          <t>5V</t>
        </is>
      </c>
      <c r="M15" s="10" t="n"/>
      <c r="N15" s="11">
        <f>IF(D15="","",IFERROR(INDEX(Connectors!$J$2:$J$1000,MATCH(D15,Connectors!$A$2:$A$1000,0))&amp;"",""))</f>
        <v/>
      </c>
      <c r="O15" s="11">
        <f>IF(F15="","",IFERROR(INDEX(Connectors!$J$2:$J$1000,MATCH(F15,Connectors!$A$2:$A$1000,0))&amp;"",""))</f>
        <v/>
      </c>
      <c r="P15" s="9" t="n"/>
      <c r="Q15" s="9" t="n"/>
      <c r="R15" s="10" t="n"/>
      <c r="S15" s="9" t="inlineStr">
        <is>
          <t>Brake Pressure Sensor Supply Voltage</t>
        </is>
      </c>
      <c r="T15" s="9" t="inlineStr">
        <is>
          <t>1 ponta (folha Acquisition Board 1)</t>
        </is>
      </c>
      <c r="U15" s="12" t="inlineStr">
        <is>
          <t>I-08</t>
        </is>
      </c>
      <c r="V15" s="11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1">
        <f>IF(D15="","",D15&amp;":"&amp;E15&amp;IF(EXACT(E15,UPPER(E15)),"","|lc"))</f>
        <v/>
      </c>
      <c r="X15" s="11">
        <f>IF(F15="","",F15&amp;":"&amp;G15&amp;IF(EXACT(G15,UPPER(G15)),"","|lc"))</f>
        <v/>
      </c>
      <c r="Y15" s="9" t="n"/>
      <c r="Z15" s="9" t="n"/>
    </row>
    <row r="16">
      <c r="A16" s="12" t="inlineStr">
        <is>
          <t>W-PEDALBOX-015</t>
        </is>
      </c>
      <c r="B16" s="9" t="inlineStr">
        <is>
          <t>PEDALBOX</t>
        </is>
      </c>
      <c r="C16" s="9" t="inlineStr">
        <is>
          <t>APPS1_GND</t>
        </is>
      </c>
      <c r="D16" s="9" t="inlineStr">
        <is>
          <t>ACQUISITION 1 J3</t>
        </is>
      </c>
      <c r="E16" s="9" t="inlineStr">
        <is>
          <t>6</t>
        </is>
      </c>
      <c r="F16" s="9" t="inlineStr">
        <is>
          <t>PEDALBOX J1</t>
        </is>
      </c>
      <c r="G16" s="9" t="inlineStr">
        <is>
          <t>I</t>
        </is>
      </c>
      <c r="H16" s="9" t="inlineStr">
        <is>
          <t>BK</t>
        </is>
      </c>
      <c r="I16" s="10" t="n"/>
      <c r="J16" s="11">
        <f>IF(I16="","",IFERROR(INDEX(Lists!$F$3:$F$17,MATCH(I16,Lists!$E$3:$E$17,0)),"?"))</f>
        <v/>
      </c>
      <c r="K16" s="9" t="inlineStr">
        <is>
          <t>N</t>
        </is>
      </c>
      <c r="L16" s="9" t="inlineStr">
        <is>
          <t>0V</t>
        </is>
      </c>
      <c r="M16" s="10" t="n"/>
      <c r="N16" s="11">
        <f>IF(D16="","",IFERROR(INDEX(Connectors!$J$2:$J$1000,MATCH(D16,Connectors!$A$2:$A$1000,0))&amp;"",""))</f>
        <v/>
      </c>
      <c r="O16" s="11">
        <f>IF(F16="","",IFERROR(INDEX(Connectors!$J$2:$J$1000,MATCH(F16,Connectors!$A$2:$A$1000,0))&amp;"",""))</f>
        <v/>
      </c>
      <c r="P16" s="9" t="n"/>
      <c r="Q16" s="9" t="n"/>
      <c r="R16" s="10" t="n"/>
      <c r="S16" s="9" t="inlineStr">
        <is>
          <t>APPS1 Ground Supply</t>
        </is>
      </c>
      <c r="T16" s="9" t="inlineStr">
        <is>
          <t>1 ponta (folha Acquisition Board 1)</t>
        </is>
      </c>
      <c r="U16" s="12" t="inlineStr">
        <is>
          <t>I-09</t>
        </is>
      </c>
      <c r="V16" s="11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1">
        <f>IF(D16="","",D16&amp;":"&amp;E16&amp;IF(EXACT(E16,UPPER(E16)),"","|lc"))</f>
        <v/>
      </c>
      <c r="X16" s="11">
        <f>IF(F16="","",F16&amp;":"&amp;G16&amp;IF(EXACT(G16,UPPER(G16)),"","|lc"))</f>
        <v/>
      </c>
      <c r="Y16" s="9" t="n"/>
      <c r="Z16" s="9" t="n"/>
    </row>
    <row r="17">
      <c r="A17" s="12" t="inlineStr">
        <is>
          <t>W-PEDALBOX-016</t>
        </is>
      </c>
      <c r="B17" s="9" t="inlineStr">
        <is>
          <t>PEDALBOX</t>
        </is>
      </c>
      <c r="C17" s="9" t="inlineStr">
        <is>
          <t>APPS2_GND</t>
        </is>
      </c>
      <c r="D17" s="9" t="inlineStr">
        <is>
          <t>ACQUISITION 1 J3</t>
        </is>
      </c>
      <c r="E17" s="9" t="inlineStr">
        <is>
          <t>7</t>
        </is>
      </c>
      <c r="F17" s="9" t="inlineStr">
        <is>
          <t>PEDALBOX J1</t>
        </is>
      </c>
      <c r="G17" s="9" t="inlineStr">
        <is>
          <t>L</t>
        </is>
      </c>
      <c r="H17" s="9" t="inlineStr">
        <is>
          <t>BK</t>
        </is>
      </c>
      <c r="I17" s="10" t="n"/>
      <c r="J17" s="11">
        <f>IF(I17="","",IFERROR(INDEX(Lists!$F$3:$F$17,MATCH(I17,Lists!$E$3:$E$17,0)),"?"))</f>
        <v/>
      </c>
      <c r="K17" s="9" t="inlineStr">
        <is>
          <t>N</t>
        </is>
      </c>
      <c r="L17" s="9" t="inlineStr">
        <is>
          <t>0V</t>
        </is>
      </c>
      <c r="M17" s="10" t="n"/>
      <c r="N17" s="11">
        <f>IF(D17="","",IFERROR(INDEX(Connectors!$J$2:$J$1000,MATCH(D17,Connectors!$A$2:$A$1000,0))&amp;"",""))</f>
        <v/>
      </c>
      <c r="O17" s="11">
        <f>IF(F17="","",IFERROR(INDEX(Connectors!$J$2:$J$1000,MATCH(F17,Connectors!$A$2:$A$1000,0))&amp;"",""))</f>
        <v/>
      </c>
      <c r="P17" s="9" t="n"/>
      <c r="Q17" s="9" t="n"/>
      <c r="R17" s="10" t="n"/>
      <c r="S17" s="9" t="inlineStr">
        <is>
          <t>APPS2 Ground Supply</t>
        </is>
      </c>
      <c r="T17" s="9" t="inlineStr">
        <is>
          <t>1 ponta (folha Acquisition Board 1)</t>
        </is>
      </c>
      <c r="U17" s="12" t="inlineStr">
        <is>
          <t>I-10</t>
        </is>
      </c>
      <c r="V17" s="11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1">
        <f>IF(D17="","",D17&amp;":"&amp;E17&amp;IF(EXACT(E17,UPPER(E17)),"","|lc"))</f>
        <v/>
      </c>
      <c r="X17" s="11">
        <f>IF(F17="","",F17&amp;":"&amp;G17&amp;IF(EXACT(G17,UPPER(G17)),"","|lc"))</f>
        <v/>
      </c>
      <c r="Y17" s="9" t="n"/>
      <c r="Z17" s="9" t="n"/>
    </row>
    <row r="18">
      <c r="A18" s="12" t="inlineStr">
        <is>
          <t>W-PEDALBOX-017</t>
        </is>
      </c>
      <c r="B18" s="9" t="inlineStr">
        <is>
          <t>PEDALBOX</t>
        </is>
      </c>
      <c r="C18" s="9" t="inlineStr">
        <is>
          <t>BRK_PRESS_GND</t>
        </is>
      </c>
      <c r="D18" s="9" t="inlineStr">
        <is>
          <t>ACQUISITION 1 J3</t>
        </is>
      </c>
      <c r="E18" s="9" t="inlineStr">
        <is>
          <t>8</t>
        </is>
      </c>
      <c r="F18" s="9" t="inlineStr">
        <is>
          <t>PEDALBOX J1</t>
        </is>
      </c>
      <c r="G18" s="9" t="inlineStr">
        <is>
          <t>O</t>
        </is>
      </c>
      <c r="H18" s="9" t="inlineStr">
        <is>
          <t>BK</t>
        </is>
      </c>
      <c r="I18" s="10" t="n"/>
      <c r="J18" s="11">
        <f>IF(I18="","",IFERROR(INDEX(Lists!$F$3:$F$17,MATCH(I18,Lists!$E$3:$E$17,0)),"?"))</f>
        <v/>
      </c>
      <c r="K18" s="9" t="inlineStr">
        <is>
          <t>N</t>
        </is>
      </c>
      <c r="L18" s="9" t="inlineStr">
        <is>
          <t>0V</t>
        </is>
      </c>
      <c r="M18" s="10" t="n"/>
      <c r="N18" s="11">
        <f>IF(D18="","",IFERROR(INDEX(Connectors!$J$2:$J$1000,MATCH(D18,Connectors!$A$2:$A$1000,0))&amp;"",""))</f>
        <v/>
      </c>
      <c r="O18" s="11">
        <f>IF(F18="","",IFERROR(INDEX(Connectors!$J$2:$J$1000,MATCH(F18,Connectors!$A$2:$A$1000,0))&amp;"",""))</f>
        <v/>
      </c>
      <c r="P18" s="9" t="n"/>
      <c r="Q18" s="9" t="n"/>
      <c r="R18" s="10" t="n"/>
      <c r="S18" s="9" t="inlineStr">
        <is>
          <t>Brake Pressure Sensor Ground Supply</t>
        </is>
      </c>
      <c r="T18" s="9" t="inlineStr">
        <is>
          <t>1 ponta (folha Acquisition Board 1)</t>
        </is>
      </c>
      <c r="U18" s="12" t="inlineStr">
        <is>
          <t>I-11</t>
        </is>
      </c>
      <c r="V18" s="11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1">
        <f>IF(D18="","",D18&amp;":"&amp;E18&amp;IF(EXACT(E18,UPPER(E18)),"","|lc"))</f>
        <v/>
      </c>
      <c r="X18" s="11">
        <f>IF(F18="","",F18&amp;":"&amp;G18&amp;IF(EXACT(G18,UPPER(G18)),"","|lc"))</f>
        <v/>
      </c>
      <c r="Y18" s="9" t="n"/>
      <c r="Z18" s="9" t="n"/>
    </row>
    <row r="19">
      <c r="A19" s="12" t="inlineStr">
        <is>
          <t>W-PEDALBOX-018</t>
        </is>
      </c>
      <c r="B19" s="9" t="inlineStr">
        <is>
          <t>PEDALBOX</t>
        </is>
      </c>
      <c r="C19" s="9" t="inlineStr">
        <is>
          <t>APPS1_SUPPLY</t>
        </is>
      </c>
      <c r="D19" s="9" t="inlineStr">
        <is>
          <t>PEDALBOX J1</t>
        </is>
      </c>
      <c r="E19" s="9" t="inlineStr">
        <is>
          <t>G</t>
        </is>
      </c>
      <c r="F19" s="9" t="inlineStr">
        <is>
          <t>APPS1</t>
        </is>
      </c>
      <c r="G19" s="9" t="inlineStr">
        <is>
          <t>Power Pin</t>
        </is>
      </c>
      <c r="H19" s="9" t="inlineStr">
        <is>
          <t>YE</t>
        </is>
      </c>
      <c r="I19" s="10" t="n"/>
      <c r="J19" s="11">
        <f>IF(I19="","",IFERROR(INDEX(Lists!$F$3:$F$17,MATCH(I19,Lists!$E$3:$E$17,0)),"?"))</f>
        <v/>
      </c>
      <c r="K19" s="9" t="inlineStr">
        <is>
          <t>N</t>
        </is>
      </c>
      <c r="L19" s="9" t="inlineStr">
        <is>
          <t>5V</t>
        </is>
      </c>
      <c r="M19" s="10" t="n"/>
      <c r="N19" s="11">
        <f>IF(D19="","",IFERROR(INDEX(Connectors!$J$2:$J$1000,MATCH(D19,Connectors!$A$2:$A$1000,0))&amp;"",""))</f>
        <v/>
      </c>
      <c r="O19" s="11">
        <f>IF(F19="","",IFERROR(INDEX(Connectors!$J$2:$J$1000,MATCH(F19,Connectors!$A$2:$A$1000,0))&amp;"",""))</f>
        <v/>
      </c>
      <c r="P19" s="9" t="n"/>
      <c r="Q19" s="9" t="n"/>
      <c r="R19" s="10" t="n"/>
      <c r="S19" s="9" t="inlineStr">
        <is>
          <t>APPS1 Supply Voltage</t>
        </is>
      </c>
      <c r="T19" s="9" t="inlineStr">
        <is>
          <t>1 ponta (folha PedalBox J1)</t>
        </is>
      </c>
      <c r="U19" s="12" t="inlineStr">
        <is>
          <t>I-06</t>
        </is>
      </c>
      <c r="V19" s="11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1">
        <f>IF(D19="","",D19&amp;":"&amp;E19&amp;IF(EXACT(E19,UPPER(E19)),"","|lc"))</f>
        <v/>
      </c>
      <c r="X19" s="11">
        <f>IF(F19="","",F19&amp;":"&amp;G19&amp;IF(EXACT(G19,UPPER(G19)),"","|lc"))</f>
        <v/>
      </c>
      <c r="Y19" s="9" t="n"/>
      <c r="Z19" s="9" t="n"/>
    </row>
    <row r="20">
      <c r="A20" s="12" t="inlineStr">
        <is>
          <t>W-PEDALBOX-019</t>
        </is>
      </c>
      <c r="B20" s="9" t="inlineStr">
        <is>
          <t>PEDALBOX</t>
        </is>
      </c>
      <c r="C20" s="9" t="inlineStr">
        <is>
          <t>APPS1</t>
        </is>
      </c>
      <c r="D20" s="9" t="inlineStr">
        <is>
          <t>PEDALBOX J1</t>
        </is>
      </c>
      <c r="E20" s="9" t="inlineStr">
        <is>
          <t>H</t>
        </is>
      </c>
      <c r="F20" s="9" t="inlineStr">
        <is>
          <t>APPS1</t>
        </is>
      </c>
      <c r="G20" s="9" t="inlineStr">
        <is>
          <t>Signal Pin</t>
        </is>
      </c>
      <c r="H20" s="9" t="inlineStr">
        <is>
          <t>WH</t>
        </is>
      </c>
      <c r="I20" s="10" t="n"/>
      <c r="J20" s="11">
        <f>IF(I20="","",IFERROR(INDEX(Lists!$F$3:$F$17,MATCH(I20,Lists!$E$3:$E$17,0)),"?"))</f>
        <v/>
      </c>
      <c r="K20" s="9" t="inlineStr">
        <is>
          <t>N</t>
        </is>
      </c>
      <c r="L20" s="9" t="inlineStr">
        <is>
          <t>Signal</t>
        </is>
      </c>
      <c r="M20" s="10" t="n"/>
      <c r="N20" s="11">
        <f>IF(D20="","",IFERROR(INDEX(Connectors!$J$2:$J$1000,MATCH(D20,Connectors!$A$2:$A$1000,0))&amp;"",""))</f>
        <v/>
      </c>
      <c r="O20" s="11">
        <f>IF(F20="","",IFERROR(INDEX(Connectors!$J$2:$J$1000,MATCH(F20,Connectors!$A$2:$A$1000,0))&amp;"",""))</f>
        <v/>
      </c>
      <c r="P20" s="9" t="n"/>
      <c r="Q20" s="9" t="n"/>
      <c r="R20" s="10" t="n"/>
      <c r="S20" s="9" t="inlineStr">
        <is>
          <t>APPS1 Analog Signal</t>
        </is>
      </c>
      <c r="T20" s="9" t="inlineStr">
        <is>
          <t>1 ponta (folha PedalBox J1)</t>
        </is>
      </c>
      <c r="U20" s="12" t="inlineStr">
        <is>
          <t>I-01</t>
        </is>
      </c>
      <c r="V20" s="11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1">
        <f>IF(D20="","",D20&amp;":"&amp;E20&amp;IF(EXACT(E20,UPPER(E20)),"","|lc"))</f>
        <v/>
      </c>
      <c r="X20" s="11">
        <f>IF(F20="","",F20&amp;":"&amp;G20&amp;IF(EXACT(G20,UPPER(G20)),"","|lc"))</f>
        <v/>
      </c>
      <c r="Y20" s="9" t="n"/>
      <c r="Z20" s="9" t="n"/>
    </row>
    <row r="21">
      <c r="A21" s="12" t="inlineStr">
        <is>
          <t>W-PEDALBOX-020</t>
        </is>
      </c>
      <c r="B21" s="9" t="inlineStr">
        <is>
          <t>PEDALBOX</t>
        </is>
      </c>
      <c r="C21" s="9" t="inlineStr">
        <is>
          <t>APPS1_GND</t>
        </is>
      </c>
      <c r="D21" s="9" t="inlineStr">
        <is>
          <t>PEDALBOX J1</t>
        </is>
      </c>
      <c r="E21" s="9" t="inlineStr">
        <is>
          <t>I</t>
        </is>
      </c>
      <c r="F21" s="9" t="inlineStr">
        <is>
          <t>APPS1</t>
        </is>
      </c>
      <c r="G21" s="9" t="inlineStr">
        <is>
          <t>Ground Pin</t>
        </is>
      </c>
      <c r="H21" s="9" t="inlineStr">
        <is>
          <t>BK</t>
        </is>
      </c>
      <c r="I21" s="10" t="n"/>
      <c r="J21" s="11">
        <f>IF(I21="","",IFERROR(INDEX(Lists!$F$3:$F$17,MATCH(I21,Lists!$E$3:$E$17,0)),"?"))</f>
        <v/>
      </c>
      <c r="K21" s="9" t="inlineStr">
        <is>
          <t>N</t>
        </is>
      </c>
      <c r="L21" s="9" t="inlineStr">
        <is>
          <t>0V</t>
        </is>
      </c>
      <c r="M21" s="10" t="n"/>
      <c r="N21" s="11">
        <f>IF(D21="","",IFERROR(INDEX(Connectors!$J$2:$J$1000,MATCH(D21,Connectors!$A$2:$A$1000,0))&amp;"",""))</f>
        <v/>
      </c>
      <c r="O21" s="11">
        <f>IF(F21="","",IFERROR(INDEX(Connectors!$J$2:$J$1000,MATCH(F21,Connectors!$A$2:$A$1000,0))&amp;"",""))</f>
        <v/>
      </c>
      <c r="P21" s="9" t="n"/>
      <c r="Q21" s="9" t="n"/>
      <c r="R21" s="10" t="n"/>
      <c r="S21" s="9" t="inlineStr">
        <is>
          <t>APPS1 Ground Supply</t>
        </is>
      </c>
      <c r="T21" s="9" t="inlineStr">
        <is>
          <t>1 ponta (folha PedalBox J1)</t>
        </is>
      </c>
      <c r="U21" s="12" t="inlineStr">
        <is>
          <t>I-09</t>
        </is>
      </c>
      <c r="V21" s="11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1">
        <f>IF(D21="","",D21&amp;":"&amp;E21&amp;IF(EXACT(E21,UPPER(E21)),"","|lc"))</f>
        <v/>
      </c>
      <c r="X21" s="11">
        <f>IF(F21="","",F21&amp;":"&amp;G21&amp;IF(EXACT(G21,UPPER(G21)),"","|lc"))</f>
        <v/>
      </c>
      <c r="Y21" s="9" t="n"/>
      <c r="Z21" s="9" t="n"/>
    </row>
    <row r="22">
      <c r="A22" s="12" t="inlineStr">
        <is>
          <t>W-PEDALBOX-021</t>
        </is>
      </c>
      <c r="B22" s="9" t="inlineStr">
        <is>
          <t>PEDALBOX</t>
        </is>
      </c>
      <c r="C22" s="9" t="inlineStr">
        <is>
          <t>APPS2_SUPPLY</t>
        </is>
      </c>
      <c r="D22" s="9" t="inlineStr">
        <is>
          <t>PEDALBOX J1</t>
        </is>
      </c>
      <c r="E22" s="9" t="inlineStr">
        <is>
          <t>J</t>
        </is>
      </c>
      <c r="F22" s="9" t="inlineStr">
        <is>
          <t>APPS2</t>
        </is>
      </c>
      <c r="G22" s="9" t="inlineStr">
        <is>
          <t>Power Pin</t>
        </is>
      </c>
      <c r="H22" s="9" t="inlineStr">
        <is>
          <t>YE</t>
        </is>
      </c>
      <c r="I22" s="10" t="n"/>
      <c r="J22" s="11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5V</t>
        </is>
      </c>
      <c r="M22" s="10" t="n"/>
      <c r="N22" s="11">
        <f>IF(D22="","",IFERROR(INDEX(Connectors!$J$2:$J$1000,MATCH(D22,Connectors!$A$2:$A$1000,0))&amp;"",""))</f>
        <v/>
      </c>
      <c r="O22" s="11">
        <f>IF(F22="","",IFERROR(INDEX(Connectors!$J$2:$J$1000,MATCH(F22,Connectors!$A$2:$A$1000,0))&amp;"",""))</f>
        <v/>
      </c>
      <c r="P22" s="9" t="n"/>
      <c r="Q22" s="9" t="n"/>
      <c r="R22" s="10" t="n"/>
      <c r="S22" s="9" t="inlineStr">
        <is>
          <t>APPS2 Supply Voltage</t>
        </is>
      </c>
      <c r="T22" s="9" t="inlineStr">
        <is>
          <t>1 ponta (folha PedalBox J1)</t>
        </is>
      </c>
      <c r="U22" s="12" t="inlineStr">
        <is>
          <t>I-07</t>
        </is>
      </c>
      <c r="V22" s="11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1">
        <f>IF(D22="","",D22&amp;":"&amp;E22&amp;IF(EXACT(E22,UPPER(E22)),"","|lc"))</f>
        <v/>
      </c>
      <c r="X22" s="11">
        <f>IF(F22="","",F22&amp;":"&amp;G22&amp;IF(EXACT(G22,UPPER(G22)),"","|lc"))</f>
        <v/>
      </c>
      <c r="Y22" s="9" t="n"/>
      <c r="Z22" s="9" t="n"/>
    </row>
    <row r="23">
      <c r="A23" s="12" t="inlineStr">
        <is>
          <t>W-PEDALBOX-022</t>
        </is>
      </c>
      <c r="B23" s="9" t="inlineStr">
        <is>
          <t>PEDALBOX</t>
        </is>
      </c>
      <c r="C23" s="9" t="inlineStr">
        <is>
          <t>APPS2</t>
        </is>
      </c>
      <c r="D23" s="9" t="inlineStr">
        <is>
          <t>PEDALBOX J1</t>
        </is>
      </c>
      <c r="E23" s="9" t="inlineStr">
        <is>
          <t>K</t>
        </is>
      </c>
      <c r="F23" s="9" t="inlineStr">
        <is>
          <t>APPS2</t>
        </is>
      </c>
      <c r="G23" s="9" t="inlineStr">
        <is>
          <t>Signal Pin</t>
        </is>
      </c>
      <c r="H23" s="9" t="inlineStr">
        <is>
          <t>WH</t>
        </is>
      </c>
      <c r="I23" s="10" t="n"/>
      <c r="J23" s="11">
        <f>IF(I23="","",IFERROR(INDEX(Lists!$F$3:$F$17,MATCH(I23,Lists!$E$3:$E$17,0)),"?"))</f>
        <v/>
      </c>
      <c r="K23" s="9" t="inlineStr">
        <is>
          <t>N</t>
        </is>
      </c>
      <c r="L23" s="9" t="inlineStr">
        <is>
          <t>Signal</t>
        </is>
      </c>
      <c r="M23" s="10" t="n"/>
      <c r="N23" s="11">
        <f>IF(D23="","",IFERROR(INDEX(Connectors!$J$2:$J$1000,MATCH(D23,Connectors!$A$2:$A$1000,0))&amp;"",""))</f>
        <v/>
      </c>
      <c r="O23" s="11">
        <f>IF(F23="","",IFERROR(INDEX(Connectors!$J$2:$J$1000,MATCH(F23,Connectors!$A$2:$A$1000,0))&amp;"",""))</f>
        <v/>
      </c>
      <c r="P23" s="9" t="n"/>
      <c r="Q23" s="9" t="n"/>
      <c r="R23" s="10" t="n"/>
      <c r="S23" s="9" t="inlineStr">
        <is>
          <t>APPS2 Analog Signal</t>
        </is>
      </c>
      <c r="T23" s="9" t="inlineStr">
        <is>
          <t>1 ponta (folha PedalBox J1)</t>
        </is>
      </c>
      <c r="U23" s="12" t="inlineStr">
        <is>
          <t>I-02</t>
        </is>
      </c>
      <c r="V23" s="11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1">
        <f>IF(D23="","",D23&amp;":"&amp;E23&amp;IF(EXACT(E23,UPPER(E23)),"","|lc"))</f>
        <v/>
      </c>
      <c r="X23" s="11">
        <f>IF(F23="","",F23&amp;":"&amp;G23&amp;IF(EXACT(G23,UPPER(G23)),"","|lc"))</f>
        <v/>
      </c>
      <c r="Y23" s="9" t="n"/>
      <c r="Z23" s="9" t="n"/>
    </row>
    <row r="24">
      <c r="A24" s="12" t="inlineStr">
        <is>
          <t>W-PEDALBOX-023</t>
        </is>
      </c>
      <c r="B24" s="9" t="inlineStr">
        <is>
          <t>PEDALBOX</t>
        </is>
      </c>
      <c r="C24" s="9" t="inlineStr">
        <is>
          <t>APPS2_GND</t>
        </is>
      </c>
      <c r="D24" s="9" t="inlineStr">
        <is>
          <t>PEDALBOX J1</t>
        </is>
      </c>
      <c r="E24" s="9" t="inlineStr">
        <is>
          <t>L</t>
        </is>
      </c>
      <c r="F24" s="9" t="inlineStr">
        <is>
          <t>APPS2</t>
        </is>
      </c>
      <c r="G24" s="9" t="inlineStr">
        <is>
          <t>Ground Pin</t>
        </is>
      </c>
      <c r="H24" s="9" t="inlineStr">
        <is>
          <t>BK</t>
        </is>
      </c>
      <c r="I24" s="10" t="n"/>
      <c r="J24" s="11">
        <f>IF(I24="","",IFERROR(INDEX(Lists!$F$3:$F$17,MATCH(I24,Lists!$E$3:$E$17,0)),"?"))</f>
        <v/>
      </c>
      <c r="K24" s="9" t="inlineStr">
        <is>
          <t>N</t>
        </is>
      </c>
      <c r="L24" s="9" t="inlineStr">
        <is>
          <t>0V</t>
        </is>
      </c>
      <c r="M24" s="10" t="n"/>
      <c r="N24" s="11">
        <f>IF(D24="","",IFERROR(INDEX(Connectors!$J$2:$J$1000,MATCH(D24,Connectors!$A$2:$A$1000,0))&amp;"",""))</f>
        <v/>
      </c>
      <c r="O24" s="11">
        <f>IF(F24="","",IFERROR(INDEX(Connectors!$J$2:$J$1000,MATCH(F24,Connectors!$A$2:$A$1000,0))&amp;"",""))</f>
        <v/>
      </c>
      <c r="P24" s="9" t="n"/>
      <c r="Q24" s="9" t="n"/>
      <c r="R24" s="10" t="n"/>
      <c r="S24" s="9" t="inlineStr">
        <is>
          <t>APPS2 Ground Supply</t>
        </is>
      </c>
      <c r="T24" s="9" t="inlineStr">
        <is>
          <t>1 ponta (folha PedalBox J1)</t>
        </is>
      </c>
      <c r="U24" s="12" t="inlineStr">
        <is>
          <t>I-10</t>
        </is>
      </c>
      <c r="V24" s="11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1">
        <f>IF(D24="","",D24&amp;":"&amp;E24&amp;IF(EXACT(E24,UPPER(E24)),"","|lc"))</f>
        <v/>
      </c>
      <c r="X24" s="11">
        <f>IF(F24="","",F24&amp;":"&amp;G24&amp;IF(EXACT(G24,UPPER(G24)),"","|lc"))</f>
        <v/>
      </c>
      <c r="Y24" s="9" t="n"/>
      <c r="Z24" s="9" t="n"/>
    </row>
    <row r="25">
      <c r="A25" s="12" t="inlineStr">
        <is>
          <t>W-PEDALBOX-024</t>
        </is>
      </c>
      <c r="B25" s="9" t="inlineStr">
        <is>
          <t>PEDALBOX</t>
        </is>
      </c>
      <c r="C25" s="9" t="inlineStr">
        <is>
          <t>BRK_PRESS_SUPPLY</t>
        </is>
      </c>
      <c r="D25" s="9" t="inlineStr">
        <is>
          <t>PEDALBOX J1</t>
        </is>
      </c>
      <c r="E25" s="9" t="inlineStr">
        <is>
          <t>M</t>
        </is>
      </c>
      <c r="F25" s="9" t="inlineStr">
        <is>
          <t>FRONT BRAKE PRESSURE</t>
        </is>
      </c>
      <c r="G25" s="9" t="inlineStr">
        <is>
          <t>Power Pin</t>
        </is>
      </c>
      <c r="H25" s="9" t="inlineStr">
        <is>
          <t>YE</t>
        </is>
      </c>
      <c r="I25" s="10" t="n"/>
      <c r="J25" s="11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5V</t>
        </is>
      </c>
      <c r="M25" s="10" t="n"/>
      <c r="N25" s="11">
        <f>IF(D25="","",IFERROR(INDEX(Connectors!$J$2:$J$1000,MATCH(D25,Connectors!$A$2:$A$1000,0))&amp;"",""))</f>
        <v/>
      </c>
      <c r="O25" s="11">
        <f>IF(F25="","",IFERROR(INDEX(Connectors!$J$2:$J$1000,MATCH(F25,Connectors!$A$2:$A$1000,0))&amp;"",""))</f>
        <v/>
      </c>
      <c r="P25" s="9" t="n"/>
      <c r="Q25" s="9" t="n"/>
      <c r="R25" s="10" t="n"/>
      <c r="S25" s="9" t="inlineStr">
        <is>
          <t>Brake Pressure Sensor Supply Voltage</t>
        </is>
      </c>
      <c r="T25" s="9" t="inlineStr">
        <is>
          <t>1 ponta (folha PedalBox J1)</t>
        </is>
      </c>
      <c r="U25" s="12" t="inlineStr">
        <is>
          <t>I-08</t>
        </is>
      </c>
      <c r="V25" s="11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1">
        <f>IF(D25="","",D25&amp;":"&amp;E25&amp;IF(EXACT(E25,UPPER(E25)),"","|lc"))</f>
        <v/>
      </c>
      <c r="X25" s="11">
        <f>IF(F25="","",F25&amp;":"&amp;G25&amp;IF(EXACT(G25,UPPER(G25)),"","|lc"))</f>
        <v/>
      </c>
      <c r="Y25" s="9" t="n"/>
      <c r="Z25" s="9" t="n"/>
    </row>
    <row r="26">
      <c r="A26" s="12" t="inlineStr">
        <is>
          <t>W-PEDALBOX-025</t>
        </is>
      </c>
      <c r="B26" s="9" t="inlineStr">
        <is>
          <t>PEDALBOX</t>
        </is>
      </c>
      <c r="C26" s="9" t="inlineStr">
        <is>
          <t>BRK_PRESS</t>
        </is>
      </c>
      <c r="D26" s="9" t="inlineStr">
        <is>
          <t>PEDALBOX J1</t>
        </is>
      </c>
      <c r="E26" s="9" t="inlineStr">
        <is>
          <t>N</t>
        </is>
      </c>
      <c r="F26" s="9" t="inlineStr">
        <is>
          <t>FRONT BRAKE PRESSURE</t>
        </is>
      </c>
      <c r="G26" s="9" t="inlineStr">
        <is>
          <t>Signal Pin</t>
        </is>
      </c>
      <c r="H26" s="9" t="inlineStr">
        <is>
          <t>WH</t>
        </is>
      </c>
      <c r="I26" s="10" t="n"/>
      <c r="J26" s="11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Signal</t>
        </is>
      </c>
      <c r="M26" s="10" t="n"/>
      <c r="N26" s="11">
        <f>IF(D26="","",IFERROR(INDEX(Connectors!$J$2:$J$1000,MATCH(D26,Connectors!$A$2:$A$1000,0))&amp;"",""))</f>
        <v/>
      </c>
      <c r="O26" s="11">
        <f>IF(F26="","",IFERROR(INDEX(Connectors!$J$2:$J$1000,MATCH(F26,Connectors!$A$2:$A$1000,0))&amp;"",""))</f>
        <v/>
      </c>
      <c r="P26" s="9" t="n"/>
      <c r="Q26" s="9" t="n"/>
      <c r="R26" s="10" t="n"/>
      <c r="S26" s="9" t="inlineStr">
        <is>
          <t>Hydraulic Front Brake Pressure</t>
        </is>
      </c>
      <c r="T26" s="9" t="inlineStr">
        <is>
          <t>1 ponta (folha PedalBox J1)</t>
        </is>
      </c>
      <c r="U26" s="12" t="inlineStr">
        <is>
          <t>I-03</t>
        </is>
      </c>
      <c r="V26" s="11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1">
        <f>IF(D26="","",D26&amp;":"&amp;E26&amp;IF(EXACT(E26,UPPER(E26)),"","|lc"))</f>
        <v/>
      </c>
      <c r="X26" s="11">
        <f>IF(F26="","",F26&amp;":"&amp;G26&amp;IF(EXACT(G26,UPPER(G26)),"","|lc"))</f>
        <v/>
      </c>
      <c r="Y26" s="9" t="n"/>
      <c r="Z26" s="9" t="n"/>
    </row>
    <row r="27">
      <c r="A27" s="12" t="inlineStr">
        <is>
          <t>W-PEDALBOX-026</t>
        </is>
      </c>
      <c r="B27" s="9" t="inlineStr">
        <is>
          <t>PEDALBOX</t>
        </is>
      </c>
      <c r="C27" s="9" t="inlineStr">
        <is>
          <t>BRK_PRESS_GND</t>
        </is>
      </c>
      <c r="D27" s="9" t="inlineStr">
        <is>
          <t>PEDALBOX J1</t>
        </is>
      </c>
      <c r="E27" s="9" t="inlineStr">
        <is>
          <t>O</t>
        </is>
      </c>
      <c r="F27" s="9" t="inlineStr">
        <is>
          <t>FRONT BRAKE PRESSURE</t>
        </is>
      </c>
      <c r="G27" s="9" t="inlineStr">
        <is>
          <t>Ground Pin</t>
        </is>
      </c>
      <c r="H27" s="9" t="inlineStr">
        <is>
          <t>BK</t>
        </is>
      </c>
      <c r="I27" s="10" t="n"/>
      <c r="J27" s="11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0V</t>
        </is>
      </c>
      <c r="M27" s="10" t="n"/>
      <c r="N27" s="11">
        <f>IF(D27="","",IFERROR(INDEX(Connectors!$J$2:$J$1000,MATCH(D27,Connectors!$A$2:$A$1000,0))&amp;"",""))</f>
        <v/>
      </c>
      <c r="O27" s="11">
        <f>IF(F27="","",IFERROR(INDEX(Connectors!$J$2:$J$1000,MATCH(F27,Connectors!$A$2:$A$1000,0))&amp;"",""))</f>
        <v/>
      </c>
      <c r="P27" s="9" t="n"/>
      <c r="Q27" s="9" t="n"/>
      <c r="R27" s="10" t="n"/>
      <c r="S27" s="9" t="inlineStr">
        <is>
          <t>Brake Pressure Sensor Ground Supply</t>
        </is>
      </c>
      <c r="T27" s="9" t="inlineStr">
        <is>
          <t>1 ponta (folha PedalBox J1)</t>
        </is>
      </c>
      <c r="U27" s="12" t="inlineStr">
        <is>
          <t>I-11</t>
        </is>
      </c>
      <c r="V27" s="11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1">
        <f>IF(D27="","",D27&amp;":"&amp;E27&amp;IF(EXACT(E27,UPPER(E27)),"","|lc"))</f>
        <v/>
      </c>
      <c r="X27" s="11">
        <f>IF(F27="","",F27&amp;":"&amp;G27&amp;IF(EXACT(G27,UPPER(G27)),"","|lc"))</f>
        <v/>
      </c>
      <c r="Y27" s="9" t="n"/>
      <c r="Z27" s="9" t="n"/>
    </row>
    <row r="28">
      <c r="A28" s="12" t="inlineStr">
        <is>
          <t>W-PEDALBOX-027</t>
        </is>
      </c>
      <c r="B28" s="9" t="inlineStr">
        <is>
          <t>PEDALBOX</t>
        </is>
      </c>
      <c r="C28" s="9" t="inlineStr">
        <is>
          <t>RES</t>
        </is>
      </c>
      <c r="D28" s="9" t="inlineStr">
        <is>
          <t>PEDALBOX J1</t>
        </is>
      </c>
      <c r="E28" s="9" t="inlineStr">
        <is>
          <t>P</t>
        </is>
      </c>
      <c r="F28" s="9" t="inlineStr">
        <is>
          <t>RES</t>
        </is>
      </c>
      <c r="G28" s="9" t="inlineStr">
        <is>
          <t>RES</t>
        </is>
      </c>
      <c r="H28" s="9" t="inlineStr">
        <is>
          <t>VT</t>
        </is>
      </c>
      <c r="I28" s="10" t="n"/>
      <c r="J28" s="11">
        <f>IF(I28="","",IFERROR(INDEX(Lists!$F$3:$F$17,MATCH(I28,Lists!$E$3:$E$17,0)),"?"))</f>
        <v/>
      </c>
      <c r="K28" s="9" t="inlineStr">
        <is>
          <t>N</t>
        </is>
      </c>
      <c r="L28" s="9" t="inlineStr">
        <is>
          <t>24V</t>
        </is>
      </c>
      <c r="M28" s="10" t="n"/>
      <c r="N28" s="11">
        <f>IF(D28="","",IFERROR(INDEX(Connectors!$J$2:$J$1000,MATCH(D28,Connectors!$A$2:$A$1000,0))&amp;"",""))</f>
        <v/>
      </c>
      <c r="O28" s="11">
        <f>IF(F28="","",IFERROR(INDEX(Connectors!$J$2:$J$1000,MATCH(F28,Connectors!$A$2:$A$1000,0))&amp;"",""))</f>
        <v/>
      </c>
      <c r="P28" s="9" t="n"/>
      <c r="Q28" s="9" t="n"/>
      <c r="R28" s="10" t="n"/>
      <c r="S28" s="9" t="inlineStr">
        <is>
          <t>RES Shutdown Circuit Measure Point</t>
        </is>
      </c>
      <c r="T28" s="9" t="inlineStr">
        <is>
          <t>1 ponta (folha PedalBox J1)</t>
        </is>
      </c>
      <c r="U28" s="12" t="inlineStr">
        <is>
          <t>I-04</t>
        </is>
      </c>
      <c r="V28" s="11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1">
        <f>IF(D28="","",D28&amp;":"&amp;E28&amp;IF(EXACT(E28,UPPER(E28)),"","|lc"))</f>
        <v/>
      </c>
      <c r="X28" s="11">
        <f>IF(F28="","",F28&amp;":"&amp;G28&amp;IF(EXACT(G28,UPPER(G28)),"","|lc"))</f>
        <v/>
      </c>
      <c r="Y28" s="9" t="n"/>
      <c r="Z28" s="9" t="n"/>
    </row>
    <row r="29">
      <c r="A29" s="12" t="inlineStr">
        <is>
          <t>W-PEDALBOX-028</t>
        </is>
      </c>
      <c r="B29" s="9" t="inlineStr">
        <is>
          <t>PEDALBOX</t>
        </is>
      </c>
      <c r="C29" s="9" t="inlineStr">
        <is>
          <t>BOTS</t>
        </is>
      </c>
      <c r="D29" s="9" t="inlineStr">
        <is>
          <t>PEDALBOX J1</t>
        </is>
      </c>
      <c r="E29" s="9" t="inlineStr">
        <is>
          <t>Q</t>
        </is>
      </c>
      <c r="F29" s="9" t="inlineStr">
        <is>
          <t>BOTS</t>
        </is>
      </c>
      <c r="G29" s="9" t="inlineStr">
        <is>
          <t>BOTS</t>
        </is>
      </c>
      <c r="H29" s="9" t="inlineStr">
        <is>
          <t>VT</t>
        </is>
      </c>
      <c r="I29" s="10" t="n"/>
      <c r="J29" s="11">
        <f>IF(I29="","",IFERROR(INDEX(Lists!$F$3:$F$17,MATCH(I29,Lists!$E$3:$E$17,0)),"?"))</f>
        <v/>
      </c>
      <c r="K29" s="9" t="inlineStr">
        <is>
          <t>N</t>
        </is>
      </c>
      <c r="L29" s="9" t="inlineStr">
        <is>
          <t>24V</t>
        </is>
      </c>
      <c r="M29" s="10" t="n"/>
      <c r="N29" s="11">
        <f>IF(D29="","",IFERROR(INDEX(Connectors!$J$2:$J$1000,MATCH(D29,Connectors!$A$2:$A$1000,0))&amp;"",""))</f>
        <v/>
      </c>
      <c r="O29" s="11">
        <f>IF(F29="","",IFERROR(INDEX(Connectors!$J$2:$J$1000,MATCH(F29,Connectors!$A$2:$A$1000,0))&amp;"",""))</f>
        <v/>
      </c>
      <c r="P29" s="9" t="n"/>
      <c r="Q29" s="9" t="n"/>
      <c r="R29" s="10" t="n"/>
      <c r="S29" s="9" t="inlineStr">
        <is>
          <t>BOTS Shutdown Circuit Measure Point</t>
        </is>
      </c>
      <c r="T29" s="9" t="inlineStr">
        <is>
          <t>1 ponta (folha PedalBox J1)</t>
        </is>
      </c>
      <c r="U29" s="12" t="inlineStr">
        <is>
          <t>I-05</t>
        </is>
      </c>
      <c r="V29" s="11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1">
        <f>IF(D29="","",D29&amp;":"&amp;E29&amp;IF(EXACT(E29,UPPER(E29)),"","|lc"))</f>
        <v/>
      </c>
      <c r="X29" s="11">
        <f>IF(F29="","",F29&amp;":"&amp;G29&amp;IF(EXACT(G29,UPPER(G29)),"","|lc"))</f>
        <v/>
      </c>
      <c r="Y29" s="9" t="n"/>
      <c r="Z29" s="9" t="n"/>
    </row>
  </sheetData>
  <autoFilter ref="A1:Z29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ACQUISITION 1 J1</t>
        </is>
      </c>
      <c r="B2" s="9" t="inlineStr">
        <is>
          <t>ACQUISITION</t>
        </is>
      </c>
      <c r="C2" s="9" t="inlineStr">
        <is>
          <t>PEDALBOX</t>
        </is>
      </c>
      <c r="D2" s="9" t="inlineStr">
        <is>
          <t>CONNECTOR</t>
        </is>
      </c>
      <c r="E2" s="11">
        <f>COUNTIF(Pins!$A$2:$A$1000,A2)</f>
        <v/>
      </c>
      <c r="F2" s="10" t="n"/>
      <c r="G2" s="13" t="inlineStr">
        <is>
          <t>1-794617-0</t>
        </is>
      </c>
      <c r="H2" s="9" t="n"/>
      <c r="I2" s="13" t="inlineStr">
        <is>
          <t>TE Micro MATE-N-LOK</t>
        </is>
      </c>
      <c r="J2" s="13" t="inlineStr">
        <is>
          <t>794611-1</t>
        </is>
      </c>
      <c r="K2" s="9" t="n"/>
      <c r="L2" s="9" t="n"/>
      <c r="M2" s="10" t="n"/>
      <c r="N2" s="10" t="n"/>
      <c r="O2" s="10" t="n"/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inlineStr">
        <is>
          <t>Proposto a partir da lista da equipa (Notion · Connectors Harness): ficha de placa com 10 vias.</t>
        </is>
      </c>
      <c r="T2" s="13" t="inlineStr">
        <is>
          <t>F</t>
        </is>
      </c>
    </row>
    <row r="3">
      <c r="A3" s="9" t="inlineStr">
        <is>
          <t>ACQUISITION 1 J2</t>
        </is>
      </c>
      <c r="B3" s="9" t="inlineStr">
        <is>
          <t>ACQUISITION</t>
        </is>
      </c>
      <c r="C3" s="9" t="inlineStr">
        <is>
          <t>PEDALBOX</t>
        </is>
      </c>
      <c r="D3" s="9" t="inlineStr">
        <is>
          <t>CONNECTOR</t>
        </is>
      </c>
      <c r="E3" s="11">
        <f>COUNTIF(Pins!$A$2:$A$1000,A3)</f>
        <v/>
      </c>
      <c r="F3" s="10" t="n"/>
      <c r="G3" s="13" t="inlineStr">
        <is>
          <t>794617-8</t>
        </is>
      </c>
      <c r="H3" s="9" t="n"/>
      <c r="I3" s="13" t="inlineStr">
        <is>
          <t>TE Micro MATE-N-LOK</t>
        </is>
      </c>
      <c r="J3" s="13" t="inlineStr">
        <is>
          <t>794611-1</t>
        </is>
      </c>
      <c r="K3" s="9" t="n"/>
      <c r="L3" s="9" t="n"/>
      <c r="M3" s="10" t="n"/>
      <c r="N3" s="10" t="n"/>
      <c r="O3" s="10" t="n"/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inlineStr">
        <is>
          <t>Proposto a partir da lista da equipa (Notion · Connectors Harness): ficha de placa com 8 vias.</t>
        </is>
      </c>
      <c r="T3" s="13" t="inlineStr">
        <is>
          <t>F</t>
        </is>
      </c>
    </row>
    <row r="4">
      <c r="A4" s="9" t="inlineStr">
        <is>
          <t>ACQUISITION 1 J3</t>
        </is>
      </c>
      <c r="B4" s="9" t="inlineStr">
        <is>
          <t>ACQUISITION</t>
        </is>
      </c>
      <c r="C4" s="9" t="inlineStr">
        <is>
          <t>PEDALBOX</t>
        </is>
      </c>
      <c r="D4" s="9" t="inlineStr">
        <is>
          <t>CONNECTOR</t>
        </is>
      </c>
      <c r="E4" s="11">
        <f>COUNTIF(Pins!$A$2:$A$1000,A4)</f>
        <v/>
      </c>
      <c r="F4" s="10" t="n"/>
      <c r="G4" s="13" t="inlineStr">
        <is>
          <t>1-794617-2</t>
        </is>
      </c>
      <c r="H4" s="9" t="n"/>
      <c r="I4" s="13" t="inlineStr">
        <is>
          <t>TE Micro MATE-N-LOK</t>
        </is>
      </c>
      <c r="J4" s="13" t="inlineStr">
        <is>
          <t>794611-1</t>
        </is>
      </c>
      <c r="K4" s="9" t="n"/>
      <c r="L4" s="9" t="n"/>
      <c r="M4" s="10" t="n"/>
      <c r="N4" s="10" t="n"/>
      <c r="O4" s="10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inlineStr">
        <is>
          <t>Proposto a partir da lista da equipa (Notion · Connectors Harness): ficha de placa com 12 vias.</t>
        </is>
      </c>
      <c r="T4" s="13" t="inlineStr">
        <is>
          <t>F</t>
        </is>
      </c>
    </row>
    <row r="5">
      <c r="A5" s="9" t="inlineStr">
        <is>
          <t>PEDALBOX J1</t>
        </is>
      </c>
      <c r="B5" s="9" t="inlineStr">
        <is>
          <t>PEDALBOX</t>
        </is>
      </c>
      <c r="C5" s="9" t="inlineStr">
        <is>
          <t>PEDALBOX</t>
        </is>
      </c>
      <c r="D5" s="9" t="inlineStr">
        <is>
          <t>CONNECTOR</t>
        </is>
      </c>
      <c r="E5" s="11">
        <f>COUNTIF(Pins!$A$2:$A$1000,A5)</f>
        <v/>
      </c>
      <c r="F5" s="10" t="n"/>
      <c r="G5" s="10" t="n"/>
      <c r="H5" s="9" t="n"/>
      <c r="I5" s="9" t="n"/>
      <c r="J5" s="9" t="n"/>
      <c r="K5" s="9" t="n"/>
      <c r="L5" s="9" t="n"/>
      <c r="M5" s="10" t="n"/>
      <c r="N5" s="10" t="n"/>
      <c r="O5" s="10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n"/>
      <c r="T5" s="10" t="n"/>
    </row>
    <row r="6">
      <c r="A6" s="9" t="inlineStr">
        <is>
          <t>APPS1</t>
        </is>
      </c>
      <c r="B6" s="9" t="inlineStr">
        <is>
          <t>APPS1</t>
        </is>
      </c>
      <c r="C6" s="9" t="inlineStr">
        <is>
          <t>PEDALBOX</t>
        </is>
      </c>
      <c r="D6" s="9" t="inlineStr">
        <is>
          <t>CONNECTOR</t>
        </is>
      </c>
      <c r="E6" s="11">
        <f>COUNTIF(Pins!$A$2:$A$1000,A6)</f>
        <v/>
      </c>
      <c r="F6" s="10" t="n"/>
      <c r="G6" s="10" t="n"/>
      <c r="H6" s="9" t="n"/>
      <c r="I6" s="9" t="n"/>
      <c r="J6" s="9" t="n"/>
      <c r="K6" s="9" t="n"/>
      <c r="L6" s="9" t="n"/>
      <c r="M6" s="10" t="n"/>
      <c r="N6" s="10" t="n"/>
      <c r="O6" s="10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inlineStr">
        <is>
          <t>Sem folha própria — criado a partir dos destinos.</t>
        </is>
      </c>
      <c r="T6" s="10" t="n"/>
    </row>
    <row r="7">
      <c r="A7" s="9" t="inlineStr">
        <is>
          <t>APPS2</t>
        </is>
      </c>
      <c r="B7" s="9" t="inlineStr">
        <is>
          <t>APPS2</t>
        </is>
      </c>
      <c r="C7" s="9" t="inlineStr">
        <is>
          <t>PEDALBOX</t>
        </is>
      </c>
      <c r="D7" s="9" t="inlineStr">
        <is>
          <t>CONNECTOR</t>
        </is>
      </c>
      <c r="E7" s="11">
        <f>COUNTIF(Pins!$A$2:$A$1000,A7)</f>
        <v/>
      </c>
      <c r="F7" s="10" t="n"/>
      <c r="G7" s="10" t="n"/>
      <c r="H7" s="9" t="n"/>
      <c r="I7" s="9" t="n"/>
      <c r="J7" s="9" t="n"/>
      <c r="K7" s="9" t="n"/>
      <c r="L7" s="9" t="n"/>
      <c r="M7" s="10" t="n"/>
      <c r="N7" s="10" t="n"/>
      <c r="O7" s="10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inlineStr">
        <is>
          <t>Sem folha própria — criado a partir dos destinos.</t>
        </is>
      </c>
      <c r="T7" s="10" t="n"/>
    </row>
    <row r="8">
      <c r="A8" s="9" t="inlineStr">
        <is>
          <t>FRONT BRAKE PRESSURE</t>
        </is>
      </c>
      <c r="B8" s="9" t="inlineStr">
        <is>
          <t>FRONT</t>
        </is>
      </c>
      <c r="C8" s="9" t="inlineStr">
        <is>
          <t>PEDALBOX</t>
        </is>
      </c>
      <c r="D8" s="9" t="inlineStr">
        <is>
          <t>CONNECTOR</t>
        </is>
      </c>
      <c r="E8" s="11">
        <f>COUNTIF(Pins!$A$2:$A$1000,A8)</f>
        <v/>
      </c>
      <c r="F8" s="10" t="n"/>
      <c r="G8" s="10" t="n"/>
      <c r="H8" s="9" t="n"/>
      <c r="I8" s="9" t="n"/>
      <c r="J8" s="9" t="n"/>
      <c r="K8" s="9" t="n"/>
      <c r="L8" s="9" t="n"/>
      <c r="M8" s="10" t="n"/>
      <c r="N8" s="10" t="n"/>
      <c r="O8" s="10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inlineStr">
        <is>
          <t>Sem folha própria — criado a partir dos destinos.</t>
        </is>
      </c>
      <c r="T8" s="10" t="n"/>
    </row>
    <row r="9">
      <c r="A9" s="9" t="inlineStr">
        <is>
          <t>RES</t>
        </is>
      </c>
      <c r="B9" s="9" t="inlineStr">
        <is>
          <t>RES</t>
        </is>
      </c>
      <c r="C9" s="9" t="inlineStr">
        <is>
          <t>PEDALBOX</t>
        </is>
      </c>
      <c r="D9" s="9" t="inlineStr">
        <is>
          <t>CONNECTOR</t>
        </is>
      </c>
      <c r="E9" s="11">
        <f>COUNTIF(Pins!$A$2:$A$1000,A9)</f>
        <v/>
      </c>
      <c r="F9" s="10" t="n"/>
      <c r="G9" s="10" t="n"/>
      <c r="H9" s="9" t="n"/>
      <c r="I9" s="9" t="n"/>
      <c r="J9" s="9" t="n"/>
      <c r="K9" s="9" t="n"/>
      <c r="L9" s="9" t="n"/>
      <c r="M9" s="10" t="n"/>
      <c r="N9" s="10" t="n"/>
      <c r="O9" s="10" t="n"/>
      <c r="P9" s="11">
        <f>IF(COUNTIF(Segments!$B$2:$C$1000,A9)&gt;0,"Y","N")</f>
        <v/>
      </c>
      <c r="Q9" s="11">
        <f>COUNTIF(Wires!$D$2:$D$1000,A9)+COUNTIF(Wires!$F$2:$F$1000,A9)</f>
        <v/>
      </c>
      <c r="R9" s="11">
        <f>IF(A9="","",IF(D9="SPLICE","",IF(P9="N","fora da topologia; ","")&amp;IF(G9="","sem P/N; ","")&amp;IF(AND(G9&lt;&gt;"",COUNTIF(Parts!$A$2:$A$1000,G9)=0),"P/N não está em Parts; ","")&amp;IF(M9="","sem xyz; ","")))</f>
        <v/>
      </c>
      <c r="S9" s="9" t="inlineStr">
        <is>
          <t>Sem folha própria — criado a partir dos destinos.</t>
        </is>
      </c>
      <c r="T9" s="10" t="n"/>
    </row>
    <row r="10">
      <c r="A10" s="9" t="inlineStr">
        <is>
          <t>BOTS</t>
        </is>
      </c>
      <c r="B10" s="9" t="inlineStr">
        <is>
          <t>BOTS</t>
        </is>
      </c>
      <c r="C10" s="9" t="inlineStr">
        <is>
          <t>PEDALBOX</t>
        </is>
      </c>
      <c r="D10" s="9" t="inlineStr">
        <is>
          <t>CONNECTOR</t>
        </is>
      </c>
      <c r="E10" s="11">
        <f>COUNTIF(Pins!$A$2:$A$1000,A10)</f>
        <v/>
      </c>
      <c r="F10" s="10" t="n"/>
      <c r="G10" s="10" t="n"/>
      <c r="H10" s="9" t="n"/>
      <c r="I10" s="9" t="n"/>
      <c r="J10" s="9" t="n"/>
      <c r="K10" s="9" t="n"/>
      <c r="L10" s="9" t="n"/>
      <c r="M10" s="10" t="n"/>
      <c r="N10" s="10" t="n"/>
      <c r="O10" s="10" t="n"/>
      <c r="P10" s="11">
        <f>IF(COUNTIF(Segments!$B$2:$C$1000,A10)&gt;0,"Y","N")</f>
        <v/>
      </c>
      <c r="Q10" s="11">
        <f>COUNTIF(Wires!$D$2:$D$1000,A10)+COUNTIF(Wires!$F$2:$F$1000,A10)</f>
        <v/>
      </c>
      <c r="R10" s="11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9" t="inlineStr">
        <is>
          <t>Sem folha própria — criado a partir dos destinos.</t>
        </is>
      </c>
      <c r="T10" s="10" t="n"/>
    </row>
  </sheetData>
  <autoFilter ref="A1:T10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ACQUISITION 1 J1</t>
        </is>
      </c>
      <c r="B2" s="9" t="inlineStr">
        <is>
          <t>1</t>
        </is>
      </c>
      <c r="C2" s="9" t="inlineStr">
        <is>
          <t>24V In</t>
        </is>
      </c>
      <c r="D2" s="9" t="inlineStr">
        <is>
          <t>IN</t>
        </is>
      </c>
      <c r="E2" s="9" t="inlineStr">
        <is>
          <t>24V</t>
        </is>
      </c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9" t="inlineStr">
        <is>
          <t>ACQUISITION 1 J1</t>
        </is>
      </c>
      <c r="B3" s="9" t="inlineStr">
        <is>
          <t>2</t>
        </is>
      </c>
      <c r="C3" s="9" t="inlineStr">
        <is>
          <t>GND In</t>
        </is>
      </c>
      <c r="D3" s="9" t="inlineStr">
        <is>
          <t>IN</t>
        </is>
      </c>
      <c r="E3" s="9" t="inlineStr">
        <is>
          <t>0V</t>
        </is>
      </c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9" t="inlineStr">
        <is>
          <t>ACQUISITION 1 J1</t>
        </is>
      </c>
      <c r="B4" s="9" t="inlineStr">
        <is>
          <t>3</t>
        </is>
      </c>
      <c r="C4" s="9" t="inlineStr">
        <is>
          <t>CAN_AUT_L</t>
        </is>
      </c>
      <c r="D4" s="9" t="inlineStr">
        <is>
          <t>BIDIR</t>
        </is>
      </c>
      <c r="E4" s="9" t="inlineStr">
        <is>
          <t>5V</t>
        </is>
      </c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9" t="inlineStr">
        <is>
          <t>ACQUISITION 1 J1</t>
        </is>
      </c>
      <c r="B5" s="9" t="inlineStr">
        <is>
          <t>4</t>
        </is>
      </c>
      <c r="C5" s="9" t="inlineStr">
        <is>
          <t>CAN_PWT_L</t>
        </is>
      </c>
      <c r="D5" s="9" t="inlineStr">
        <is>
          <t>BIDIR</t>
        </is>
      </c>
      <c r="E5" s="9" t="inlineStr">
        <is>
          <t>5V</t>
        </is>
      </c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9" t="inlineStr">
        <is>
          <t>ACQUISITION 1 J1</t>
        </is>
      </c>
      <c r="B6" s="9" t="inlineStr">
        <is>
          <t>5</t>
        </is>
      </c>
      <c r="C6" s="9" t="inlineStr">
        <is>
          <t>CAN_AUT_H</t>
        </is>
      </c>
      <c r="D6" s="9" t="inlineStr">
        <is>
          <t>BIDIR</t>
        </is>
      </c>
      <c r="E6" s="9" t="inlineStr">
        <is>
          <t>5V</t>
        </is>
      </c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9" t="inlineStr">
        <is>
          <t>ACQUISITION 1 J1</t>
        </is>
      </c>
      <c r="B7" s="9" t="inlineStr">
        <is>
          <t>6</t>
        </is>
      </c>
      <c r="C7" s="9" t="inlineStr">
        <is>
          <t>CAN_PWT_H</t>
        </is>
      </c>
      <c r="D7" s="9" t="inlineStr">
        <is>
          <t>BIDIR</t>
        </is>
      </c>
      <c r="E7" s="9" t="inlineStr">
        <is>
          <t>5V</t>
        </is>
      </c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9" t="inlineStr">
        <is>
          <t>ACQUISITION 1 J1</t>
        </is>
      </c>
      <c r="B8" s="9" t="inlineStr">
        <is>
          <t>7</t>
        </is>
      </c>
      <c r="C8" s="9" t="inlineStr">
        <is>
          <t>CAN_AUT_L</t>
        </is>
      </c>
      <c r="D8" s="9" t="inlineStr">
        <is>
          <t>BIDIR</t>
        </is>
      </c>
      <c r="E8" s="9" t="inlineStr">
        <is>
          <t>5V</t>
        </is>
      </c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9" t="inlineStr">
        <is>
          <t>ACQUISITION 1 J1</t>
        </is>
      </c>
      <c r="B9" s="9" t="inlineStr">
        <is>
          <t>8</t>
        </is>
      </c>
      <c r="C9" s="9" t="inlineStr">
        <is>
          <t>CAN_PWT_L</t>
        </is>
      </c>
      <c r="D9" s="9" t="inlineStr">
        <is>
          <t>BIDIR</t>
        </is>
      </c>
      <c r="E9" s="9" t="inlineStr">
        <is>
          <t>5V</t>
        </is>
      </c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9" t="inlineStr">
        <is>
          <t>ACQUISITION 1 J1</t>
        </is>
      </c>
      <c r="B10" s="9" t="inlineStr">
        <is>
          <t>9</t>
        </is>
      </c>
      <c r="C10" s="9" t="inlineStr">
        <is>
          <t>CAN_AUT_H</t>
        </is>
      </c>
      <c r="D10" s="9" t="inlineStr">
        <is>
          <t>BIDIR</t>
        </is>
      </c>
      <c r="E10" s="9" t="inlineStr">
        <is>
          <t>5V</t>
        </is>
      </c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9" t="inlineStr">
        <is>
          <t>ACQUISITION 1 J1</t>
        </is>
      </c>
      <c r="B11" s="9" t="inlineStr">
        <is>
          <t>10</t>
        </is>
      </c>
      <c r="C11" s="9" t="inlineStr">
        <is>
          <t>CAN_PWT_H</t>
        </is>
      </c>
      <c r="D11" s="9" t="inlineStr">
        <is>
          <t>BIDIR</t>
        </is>
      </c>
      <c r="E11" s="9" t="inlineStr">
        <is>
          <t>5V</t>
        </is>
      </c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9" t="inlineStr">
        <is>
          <t>ACQUISITION 1 J2</t>
        </is>
      </c>
      <c r="B12" s="9" t="inlineStr">
        <is>
          <t>1</t>
        </is>
      </c>
      <c r="C12" s="9" t="inlineStr">
        <is>
          <t>APPS1</t>
        </is>
      </c>
      <c r="D12" s="9" t="inlineStr">
        <is>
          <t>IN</t>
        </is>
      </c>
      <c r="E12" s="9" t="inlineStr">
        <is>
          <t>Signal</t>
        </is>
      </c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9" t="inlineStr">
        <is>
          <t>ACQUISITION 1 J2</t>
        </is>
      </c>
      <c r="B13" s="9" t="inlineStr">
        <is>
          <t>2</t>
        </is>
      </c>
      <c r="C13" s="9" t="inlineStr">
        <is>
          <t>N/A</t>
        </is>
      </c>
      <c r="D13" s="9" t="n"/>
      <c r="E13" s="9" t="n"/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9" t="inlineStr">
        <is>
          <t>ACQUISITION 1 J2</t>
        </is>
      </c>
      <c r="B14" s="9" t="inlineStr">
        <is>
          <t>3</t>
        </is>
      </c>
      <c r="C14" s="9" t="inlineStr">
        <is>
          <t>APPS2</t>
        </is>
      </c>
      <c r="D14" s="9" t="inlineStr">
        <is>
          <t>IN</t>
        </is>
      </c>
      <c r="E14" s="9" t="inlineStr">
        <is>
          <t>Signal</t>
        </is>
      </c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9" t="inlineStr">
        <is>
          <t>ACQUISITION 1 J2</t>
        </is>
      </c>
      <c r="B15" s="9" t="inlineStr">
        <is>
          <t>4</t>
        </is>
      </c>
      <c r="C15" s="9" t="inlineStr">
        <is>
          <t>N/A</t>
        </is>
      </c>
      <c r="D15" s="9" t="n"/>
      <c r="E15" s="9" t="n"/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9" t="inlineStr">
        <is>
          <t>ACQUISITION 1 J2</t>
        </is>
      </c>
      <c r="B16" s="9" t="inlineStr">
        <is>
          <t>5</t>
        </is>
      </c>
      <c r="C16" s="9" t="inlineStr">
        <is>
          <t>BRK_PRESS</t>
        </is>
      </c>
      <c r="D16" s="9" t="inlineStr">
        <is>
          <t>IN</t>
        </is>
      </c>
      <c r="E16" s="9" t="inlineStr">
        <is>
          <t>Signal</t>
        </is>
      </c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9" t="inlineStr">
        <is>
          <t>ACQUISITION 1 J2</t>
        </is>
      </c>
      <c r="B17" s="9" t="inlineStr">
        <is>
          <t>6</t>
        </is>
      </c>
      <c r="C17" s="9" t="inlineStr">
        <is>
          <t>RES</t>
        </is>
      </c>
      <c r="D17" s="9" t="inlineStr">
        <is>
          <t>IN</t>
        </is>
      </c>
      <c r="E17" s="9" t="inlineStr">
        <is>
          <t>24V</t>
        </is>
      </c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9" t="inlineStr">
        <is>
          <t>ACQUISITION 1 J2</t>
        </is>
      </c>
      <c r="B18" s="9" t="inlineStr">
        <is>
          <t>7</t>
        </is>
      </c>
      <c r="C18" s="9" t="inlineStr">
        <is>
          <t>N/A</t>
        </is>
      </c>
      <c r="D18" s="9" t="n"/>
      <c r="E18" s="9" t="n"/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9" t="inlineStr">
        <is>
          <t>ACQUISITION 1 J2</t>
        </is>
      </c>
      <c r="B19" s="9" t="inlineStr">
        <is>
          <t>8</t>
        </is>
      </c>
      <c r="C19" s="9" t="inlineStr">
        <is>
          <t>BOTS</t>
        </is>
      </c>
      <c r="D19" s="9" t="inlineStr">
        <is>
          <t>IN</t>
        </is>
      </c>
      <c r="E19" s="9" t="inlineStr">
        <is>
          <t>24V</t>
        </is>
      </c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9" t="inlineStr">
        <is>
          <t>ACQUISITION 1 J3</t>
        </is>
      </c>
      <c r="B20" s="9" t="inlineStr">
        <is>
          <t>1</t>
        </is>
      </c>
      <c r="C20" s="9" t="inlineStr">
        <is>
          <t>APPS1_Supply</t>
        </is>
      </c>
      <c r="D20" s="9" t="inlineStr">
        <is>
          <t>OUT</t>
        </is>
      </c>
      <c r="E20" s="9" t="inlineStr">
        <is>
          <t>5V</t>
        </is>
      </c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9" t="inlineStr">
        <is>
          <t>ACQUISITION 1 J3</t>
        </is>
      </c>
      <c r="B21" s="9" t="inlineStr">
        <is>
          <t>2</t>
        </is>
      </c>
      <c r="C21" s="9" t="inlineStr">
        <is>
          <t>APPS2_Supply</t>
        </is>
      </c>
      <c r="D21" s="9" t="inlineStr">
        <is>
          <t>OUT</t>
        </is>
      </c>
      <c r="E21" s="9" t="inlineStr">
        <is>
          <t>5V</t>
        </is>
      </c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9" t="inlineStr">
        <is>
          <t>ACQUISITION 1 J3</t>
        </is>
      </c>
      <c r="B22" s="9" t="inlineStr">
        <is>
          <t>3</t>
        </is>
      </c>
      <c r="C22" s="9" t="inlineStr">
        <is>
          <t>BRK_PRESS_Supply</t>
        </is>
      </c>
      <c r="D22" s="9" t="inlineStr">
        <is>
          <t>OUT</t>
        </is>
      </c>
      <c r="E22" s="9" t="inlineStr">
        <is>
          <t>5V</t>
        </is>
      </c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9" t="inlineStr">
        <is>
          <t>ACQUISITION 1 J3</t>
        </is>
      </c>
      <c r="B23" s="9" t="inlineStr">
        <is>
          <t>4</t>
        </is>
      </c>
      <c r="C23" s="9" t="inlineStr">
        <is>
          <t>N/A</t>
        </is>
      </c>
      <c r="D23" s="9" t="n"/>
      <c r="E23" s="9" t="n"/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9" t="inlineStr">
        <is>
          <t>ACQUISITION 1 J3</t>
        </is>
      </c>
      <c r="B24" s="9" t="inlineStr">
        <is>
          <t>5</t>
        </is>
      </c>
      <c r="C24" s="9" t="inlineStr">
        <is>
          <t>N/A</t>
        </is>
      </c>
      <c r="D24" s="9" t="n"/>
      <c r="E24" s="9" t="n"/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9" t="inlineStr">
        <is>
          <t>ACQUISITION 1 J3</t>
        </is>
      </c>
      <c r="B25" s="9" t="inlineStr">
        <is>
          <t>6</t>
        </is>
      </c>
      <c r="C25" s="9" t="inlineStr">
        <is>
          <t>APPS1_GND</t>
        </is>
      </c>
      <c r="D25" s="9" t="inlineStr">
        <is>
          <t>OUT</t>
        </is>
      </c>
      <c r="E25" s="9" t="inlineStr">
        <is>
          <t>0V</t>
        </is>
      </c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9" t="inlineStr">
        <is>
          <t>ACQUISITION 1 J3</t>
        </is>
      </c>
      <c r="B26" s="9" t="inlineStr">
        <is>
          <t>7</t>
        </is>
      </c>
      <c r="C26" s="9" t="inlineStr">
        <is>
          <t>APPS2_GND</t>
        </is>
      </c>
      <c r="D26" s="9" t="inlineStr">
        <is>
          <t>OUT</t>
        </is>
      </c>
      <c r="E26" s="9" t="inlineStr">
        <is>
          <t>0V</t>
        </is>
      </c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9" t="inlineStr">
        <is>
          <t>ACQUISITION 1 J3</t>
        </is>
      </c>
      <c r="B27" s="9" t="inlineStr">
        <is>
          <t>8</t>
        </is>
      </c>
      <c r="C27" s="9" t="inlineStr">
        <is>
          <t>BRK_PRESS_GND</t>
        </is>
      </c>
      <c r="D27" s="9" t="inlineStr">
        <is>
          <t>OUT</t>
        </is>
      </c>
      <c r="E27" s="9" t="inlineStr">
        <is>
          <t>0V</t>
        </is>
      </c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9" t="inlineStr">
        <is>
          <t>ACQUISITION 1 J3</t>
        </is>
      </c>
      <c r="B28" s="9" t="inlineStr">
        <is>
          <t>9</t>
        </is>
      </c>
      <c r="C28" s="9" t="inlineStr">
        <is>
          <t>N/A</t>
        </is>
      </c>
      <c r="D28" s="9" t="n"/>
      <c r="E28" s="9" t="n"/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9" t="inlineStr">
        <is>
          <t>ACQUISITION 1 J3</t>
        </is>
      </c>
      <c r="B29" s="9" t="inlineStr">
        <is>
          <t>10</t>
        </is>
      </c>
      <c r="C29" s="9" t="inlineStr">
        <is>
          <t>N/A</t>
        </is>
      </c>
      <c r="D29" s="9" t="n"/>
      <c r="E29" s="9" t="n"/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9" t="inlineStr">
        <is>
          <t>ACQUISITION 1 J3</t>
        </is>
      </c>
      <c r="B30" s="9" t="inlineStr">
        <is>
          <t>11</t>
        </is>
      </c>
      <c r="C30" s="9" t="inlineStr">
        <is>
          <t>N/A</t>
        </is>
      </c>
      <c r="D30" s="9" t="n"/>
      <c r="E30" s="9" t="n"/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9" t="inlineStr">
        <is>
          <t>ACQUISITION 1 J3</t>
        </is>
      </c>
      <c r="B31" s="9" t="inlineStr">
        <is>
          <t>12</t>
        </is>
      </c>
      <c r="C31" s="9" t="inlineStr">
        <is>
          <t>N/A</t>
        </is>
      </c>
      <c r="D31" s="9" t="n"/>
      <c r="E31" s="9" t="n"/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9" t="inlineStr">
        <is>
          <t>PEDALBOX J1</t>
        </is>
      </c>
      <c r="B32" s="9" t="inlineStr">
        <is>
          <t>A</t>
        </is>
      </c>
      <c r="C32" s="9" t="inlineStr">
        <is>
          <t>24V In</t>
        </is>
      </c>
      <c r="D32" s="9" t="inlineStr">
        <is>
          <t>IN</t>
        </is>
      </c>
      <c r="E32" s="9" t="inlineStr">
        <is>
          <t>24V</t>
        </is>
      </c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9" t="inlineStr">
        <is>
          <t>PEDALBOX J1</t>
        </is>
      </c>
      <c r="B33" s="9" t="inlineStr">
        <is>
          <t>B</t>
        </is>
      </c>
      <c r="C33" s="9" t="inlineStr">
        <is>
          <t>GND In</t>
        </is>
      </c>
      <c r="D33" s="9" t="inlineStr">
        <is>
          <t>IN</t>
        </is>
      </c>
      <c r="E33" s="9" t="inlineStr">
        <is>
          <t>0V</t>
        </is>
      </c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9" t="inlineStr">
        <is>
          <t>PEDALBOX J1</t>
        </is>
      </c>
      <c r="B34" s="9" t="inlineStr">
        <is>
          <t>C</t>
        </is>
      </c>
      <c r="C34" s="9" t="inlineStr">
        <is>
          <t>CAN_AUT_L</t>
        </is>
      </c>
      <c r="D34" s="9" t="inlineStr">
        <is>
          <t>BIDIR</t>
        </is>
      </c>
      <c r="E34" s="9" t="inlineStr">
        <is>
          <t>5V</t>
        </is>
      </c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9" t="inlineStr">
        <is>
          <t>PEDALBOX J1</t>
        </is>
      </c>
      <c r="B35" s="9" t="inlineStr">
        <is>
          <t>D</t>
        </is>
      </c>
      <c r="C35" s="9" t="inlineStr">
        <is>
          <t>CAN_PWT_L</t>
        </is>
      </c>
      <c r="D35" s="9" t="inlineStr">
        <is>
          <t>BIDIR</t>
        </is>
      </c>
      <c r="E35" s="9" t="inlineStr">
        <is>
          <t>5V</t>
        </is>
      </c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9" t="inlineStr">
        <is>
          <t>PEDALBOX J1</t>
        </is>
      </c>
      <c r="B36" s="9" t="inlineStr">
        <is>
          <t>E</t>
        </is>
      </c>
      <c r="C36" s="9" t="inlineStr">
        <is>
          <t>CAN_AUT_H</t>
        </is>
      </c>
      <c r="D36" s="9" t="inlineStr">
        <is>
          <t>BIDIR</t>
        </is>
      </c>
      <c r="E36" s="9" t="inlineStr">
        <is>
          <t>5V</t>
        </is>
      </c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9" t="inlineStr">
        <is>
          <t>PEDALBOX J1</t>
        </is>
      </c>
      <c r="B37" s="9" t="inlineStr">
        <is>
          <t>F</t>
        </is>
      </c>
      <c r="C37" s="9" t="inlineStr">
        <is>
          <t>CAN_PWT_H</t>
        </is>
      </c>
      <c r="D37" s="9" t="inlineStr">
        <is>
          <t>BIDIR</t>
        </is>
      </c>
      <c r="E37" s="9" t="inlineStr">
        <is>
          <t>5V</t>
        </is>
      </c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  <row r="38">
      <c r="A38" s="9" t="inlineStr">
        <is>
          <t>PEDALBOX J1</t>
        </is>
      </c>
      <c r="B38" s="9" t="inlineStr">
        <is>
          <t>G</t>
        </is>
      </c>
      <c r="C38" s="9" t="inlineStr">
        <is>
          <t>APPS1_Supply</t>
        </is>
      </c>
      <c r="D38" s="9" t="inlineStr">
        <is>
          <t>OUT</t>
        </is>
      </c>
      <c r="E38" s="9" t="inlineStr">
        <is>
          <t>5V</t>
        </is>
      </c>
      <c r="F38" s="11">
        <f>IF(N38="","",INDEX(Wires!$A$2:$A$1000,N38))</f>
        <v/>
      </c>
      <c r="G38" s="11">
        <f>IF(N38="","",INDEX(Wires!$C$2:$C$1000,N38))</f>
        <v/>
      </c>
      <c r="H38" s="11">
        <f>IF(N38="","",IF(O38="from",INDEX(Wires!$F$2:$F$1000,N38)&amp;":"&amp;INDEX(Wires!$G$2:$G$1000,N38),INDEX(Wires!$D$2:$D$1000,N38)&amp;":"&amp;INDEX(Wires!$E$2:$E$1000,N38)))</f>
        <v/>
      </c>
      <c r="I38" s="11">
        <f>IF(N38="","",INDEX(Wires!$H$2:$H$1000,N38)&amp;"")</f>
        <v/>
      </c>
      <c r="J38" s="11">
        <f>IF(N38="","",IF(INDEX(Wires!$I$2:$I$1000,N38)="","",INDEX(Wires!$I$2:$I$1000,N38)))</f>
        <v/>
      </c>
      <c r="K38" s="11">
        <f>COUNTIF(Wires!$W$2:$W$1000,M38)+COUNTIF(Wires!$X$2:$X$1000,M38)</f>
        <v/>
      </c>
      <c r="L38" s="11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1">
        <f>A38&amp;":"&amp;B38&amp;IF(EXACT(B38,UPPER(B38)),"","|lc")</f>
        <v/>
      </c>
      <c r="N38" s="11">
        <f>IFERROR(MATCH(M38,Wires!$W$2:$W$1000,0),IFERROR(MATCH(M38,Wires!$X$2:$X$1000,0),""))</f>
        <v/>
      </c>
      <c r="O38" s="11">
        <f>IF(N38="","",IF(ISNUMBER(MATCH(M38,Wires!$W$2:$W$1000,0)),"from","to"))</f>
        <v/>
      </c>
    </row>
    <row r="39">
      <c r="A39" s="9" t="inlineStr">
        <is>
          <t>PEDALBOX J1</t>
        </is>
      </c>
      <c r="B39" s="9" t="inlineStr">
        <is>
          <t>H</t>
        </is>
      </c>
      <c r="C39" s="9" t="inlineStr">
        <is>
          <t>APPS1</t>
        </is>
      </c>
      <c r="D39" s="9" t="inlineStr">
        <is>
          <t>IN</t>
        </is>
      </c>
      <c r="E39" s="9" t="inlineStr">
        <is>
          <t>Signal</t>
        </is>
      </c>
      <c r="F39" s="11">
        <f>IF(N39="","",INDEX(Wires!$A$2:$A$1000,N39))</f>
        <v/>
      </c>
      <c r="G39" s="11">
        <f>IF(N39="","",INDEX(Wires!$C$2:$C$1000,N39))</f>
        <v/>
      </c>
      <c r="H39" s="11">
        <f>IF(N39="","",IF(O39="from",INDEX(Wires!$F$2:$F$1000,N39)&amp;":"&amp;INDEX(Wires!$G$2:$G$1000,N39),INDEX(Wires!$D$2:$D$1000,N39)&amp;":"&amp;INDEX(Wires!$E$2:$E$1000,N39)))</f>
        <v/>
      </c>
      <c r="I39" s="11">
        <f>IF(N39="","",INDEX(Wires!$H$2:$H$1000,N39)&amp;"")</f>
        <v/>
      </c>
      <c r="J39" s="11">
        <f>IF(N39="","",IF(INDEX(Wires!$I$2:$I$1000,N39)="","",INDEX(Wires!$I$2:$I$1000,N39)))</f>
        <v/>
      </c>
      <c r="K39" s="11">
        <f>COUNTIF(Wires!$W$2:$W$1000,M39)+COUNTIF(Wires!$X$2:$X$1000,M39)</f>
        <v/>
      </c>
      <c r="L39" s="11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1">
        <f>A39&amp;":"&amp;B39&amp;IF(EXACT(B39,UPPER(B39)),"","|lc")</f>
        <v/>
      </c>
      <c r="N39" s="11">
        <f>IFERROR(MATCH(M39,Wires!$W$2:$W$1000,0),IFERROR(MATCH(M39,Wires!$X$2:$X$1000,0),""))</f>
        <v/>
      </c>
      <c r="O39" s="11">
        <f>IF(N39="","",IF(ISNUMBER(MATCH(M39,Wires!$W$2:$W$1000,0)),"from","to"))</f>
        <v/>
      </c>
    </row>
    <row r="40">
      <c r="A40" s="9" t="inlineStr">
        <is>
          <t>PEDALBOX J1</t>
        </is>
      </c>
      <c r="B40" s="9" t="inlineStr">
        <is>
          <t>I</t>
        </is>
      </c>
      <c r="C40" s="9" t="inlineStr">
        <is>
          <t>APPS1_GND</t>
        </is>
      </c>
      <c r="D40" s="9" t="inlineStr">
        <is>
          <t>OUT</t>
        </is>
      </c>
      <c r="E40" s="9" t="inlineStr">
        <is>
          <t>0V</t>
        </is>
      </c>
      <c r="F40" s="11">
        <f>IF(N40="","",INDEX(Wires!$A$2:$A$1000,N40))</f>
        <v/>
      </c>
      <c r="G40" s="11">
        <f>IF(N40="","",INDEX(Wires!$C$2:$C$1000,N40))</f>
        <v/>
      </c>
      <c r="H40" s="11">
        <f>IF(N40="","",IF(O40="from",INDEX(Wires!$F$2:$F$1000,N40)&amp;":"&amp;INDEX(Wires!$G$2:$G$1000,N40),INDEX(Wires!$D$2:$D$1000,N40)&amp;":"&amp;INDEX(Wires!$E$2:$E$1000,N40)))</f>
        <v/>
      </c>
      <c r="I40" s="11">
        <f>IF(N40="","",INDEX(Wires!$H$2:$H$1000,N40)&amp;"")</f>
        <v/>
      </c>
      <c r="J40" s="11">
        <f>IF(N40="","",IF(INDEX(Wires!$I$2:$I$1000,N40)="","",INDEX(Wires!$I$2:$I$1000,N40)))</f>
        <v/>
      </c>
      <c r="K40" s="11">
        <f>COUNTIF(Wires!$W$2:$W$1000,M40)+COUNTIF(Wires!$X$2:$X$1000,M40)</f>
        <v/>
      </c>
      <c r="L40" s="11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1">
        <f>A40&amp;":"&amp;B40&amp;IF(EXACT(B40,UPPER(B40)),"","|lc")</f>
        <v/>
      </c>
      <c r="N40" s="11">
        <f>IFERROR(MATCH(M40,Wires!$W$2:$W$1000,0),IFERROR(MATCH(M40,Wires!$X$2:$X$1000,0),""))</f>
        <v/>
      </c>
      <c r="O40" s="11">
        <f>IF(N40="","",IF(ISNUMBER(MATCH(M40,Wires!$W$2:$W$1000,0)),"from","to"))</f>
        <v/>
      </c>
    </row>
    <row r="41">
      <c r="A41" s="9" t="inlineStr">
        <is>
          <t>PEDALBOX J1</t>
        </is>
      </c>
      <c r="B41" s="9" t="inlineStr">
        <is>
          <t>J</t>
        </is>
      </c>
      <c r="C41" s="9" t="inlineStr">
        <is>
          <t>APPS2_Supply</t>
        </is>
      </c>
      <c r="D41" s="9" t="inlineStr">
        <is>
          <t>OUT</t>
        </is>
      </c>
      <c r="E41" s="9" t="inlineStr">
        <is>
          <t>5V</t>
        </is>
      </c>
      <c r="F41" s="11">
        <f>IF(N41="","",INDEX(Wires!$A$2:$A$1000,N41))</f>
        <v/>
      </c>
      <c r="G41" s="11">
        <f>IF(N41="","",INDEX(Wires!$C$2:$C$1000,N41))</f>
        <v/>
      </c>
      <c r="H41" s="11">
        <f>IF(N41="","",IF(O41="from",INDEX(Wires!$F$2:$F$1000,N41)&amp;":"&amp;INDEX(Wires!$G$2:$G$1000,N41),INDEX(Wires!$D$2:$D$1000,N41)&amp;":"&amp;INDEX(Wires!$E$2:$E$1000,N41)))</f>
        <v/>
      </c>
      <c r="I41" s="11">
        <f>IF(N41="","",INDEX(Wires!$H$2:$H$1000,N41)&amp;"")</f>
        <v/>
      </c>
      <c r="J41" s="11">
        <f>IF(N41="","",IF(INDEX(Wires!$I$2:$I$1000,N41)="","",INDEX(Wires!$I$2:$I$1000,N41)))</f>
        <v/>
      </c>
      <c r="K41" s="11">
        <f>COUNTIF(Wires!$W$2:$W$1000,M41)+COUNTIF(Wires!$X$2:$X$1000,M41)</f>
        <v/>
      </c>
      <c r="L41" s="11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1">
        <f>A41&amp;":"&amp;B41&amp;IF(EXACT(B41,UPPER(B41)),"","|lc")</f>
        <v/>
      </c>
      <c r="N41" s="11">
        <f>IFERROR(MATCH(M41,Wires!$W$2:$W$1000,0),IFERROR(MATCH(M41,Wires!$X$2:$X$1000,0),""))</f>
        <v/>
      </c>
      <c r="O41" s="11">
        <f>IF(N41="","",IF(ISNUMBER(MATCH(M41,Wires!$W$2:$W$1000,0)),"from","to"))</f>
        <v/>
      </c>
    </row>
    <row r="42">
      <c r="A42" s="9" t="inlineStr">
        <is>
          <t>PEDALBOX J1</t>
        </is>
      </c>
      <c r="B42" s="9" t="inlineStr">
        <is>
          <t>K</t>
        </is>
      </c>
      <c r="C42" s="9" t="inlineStr">
        <is>
          <t>APPS2</t>
        </is>
      </c>
      <c r="D42" s="9" t="inlineStr">
        <is>
          <t>IN</t>
        </is>
      </c>
      <c r="E42" s="9" t="inlineStr">
        <is>
          <t>Signal</t>
        </is>
      </c>
      <c r="F42" s="11">
        <f>IF(N42="","",INDEX(Wires!$A$2:$A$1000,N42))</f>
        <v/>
      </c>
      <c r="G42" s="11">
        <f>IF(N42="","",INDEX(Wires!$C$2:$C$1000,N42))</f>
        <v/>
      </c>
      <c r="H42" s="11">
        <f>IF(N42="","",IF(O42="from",INDEX(Wires!$F$2:$F$1000,N42)&amp;":"&amp;INDEX(Wires!$G$2:$G$1000,N42),INDEX(Wires!$D$2:$D$1000,N42)&amp;":"&amp;INDEX(Wires!$E$2:$E$1000,N42)))</f>
        <v/>
      </c>
      <c r="I42" s="11">
        <f>IF(N42="","",INDEX(Wires!$H$2:$H$1000,N42)&amp;"")</f>
        <v/>
      </c>
      <c r="J42" s="11">
        <f>IF(N42="","",IF(INDEX(Wires!$I$2:$I$1000,N42)="","",INDEX(Wires!$I$2:$I$1000,N42)))</f>
        <v/>
      </c>
      <c r="K42" s="11">
        <f>COUNTIF(Wires!$W$2:$W$1000,M42)+COUNTIF(Wires!$X$2:$X$1000,M42)</f>
        <v/>
      </c>
      <c r="L42" s="11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1">
        <f>A42&amp;":"&amp;B42&amp;IF(EXACT(B42,UPPER(B42)),"","|lc")</f>
        <v/>
      </c>
      <c r="N42" s="11">
        <f>IFERROR(MATCH(M42,Wires!$W$2:$W$1000,0),IFERROR(MATCH(M42,Wires!$X$2:$X$1000,0),""))</f>
        <v/>
      </c>
      <c r="O42" s="11">
        <f>IF(N42="","",IF(ISNUMBER(MATCH(M42,Wires!$W$2:$W$1000,0)),"from","to"))</f>
        <v/>
      </c>
    </row>
    <row r="43">
      <c r="A43" s="9" t="inlineStr">
        <is>
          <t>PEDALBOX J1</t>
        </is>
      </c>
      <c r="B43" s="9" t="inlineStr">
        <is>
          <t>L</t>
        </is>
      </c>
      <c r="C43" s="9" t="inlineStr">
        <is>
          <t>APPS2_GND</t>
        </is>
      </c>
      <c r="D43" s="9" t="inlineStr">
        <is>
          <t>OUT</t>
        </is>
      </c>
      <c r="E43" s="9" t="inlineStr">
        <is>
          <t>0V</t>
        </is>
      </c>
      <c r="F43" s="11">
        <f>IF(N43="","",INDEX(Wires!$A$2:$A$1000,N43))</f>
        <v/>
      </c>
      <c r="G43" s="11">
        <f>IF(N43="","",INDEX(Wires!$C$2:$C$1000,N43))</f>
        <v/>
      </c>
      <c r="H43" s="11">
        <f>IF(N43="","",IF(O43="from",INDEX(Wires!$F$2:$F$1000,N43)&amp;":"&amp;INDEX(Wires!$G$2:$G$1000,N43),INDEX(Wires!$D$2:$D$1000,N43)&amp;":"&amp;INDEX(Wires!$E$2:$E$1000,N43)))</f>
        <v/>
      </c>
      <c r="I43" s="11">
        <f>IF(N43="","",INDEX(Wires!$H$2:$H$1000,N43)&amp;"")</f>
        <v/>
      </c>
      <c r="J43" s="11">
        <f>IF(N43="","",IF(INDEX(Wires!$I$2:$I$1000,N43)="","",INDEX(Wires!$I$2:$I$1000,N43)))</f>
        <v/>
      </c>
      <c r="K43" s="11">
        <f>COUNTIF(Wires!$W$2:$W$1000,M43)+COUNTIF(Wires!$X$2:$X$1000,M43)</f>
        <v/>
      </c>
      <c r="L43" s="11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1">
        <f>A43&amp;":"&amp;B43&amp;IF(EXACT(B43,UPPER(B43)),"","|lc")</f>
        <v/>
      </c>
      <c r="N43" s="11">
        <f>IFERROR(MATCH(M43,Wires!$W$2:$W$1000,0),IFERROR(MATCH(M43,Wires!$X$2:$X$1000,0),""))</f>
        <v/>
      </c>
      <c r="O43" s="11">
        <f>IF(N43="","",IF(ISNUMBER(MATCH(M43,Wires!$W$2:$W$1000,0)),"from","to"))</f>
        <v/>
      </c>
    </row>
    <row r="44">
      <c r="A44" s="9" t="inlineStr">
        <is>
          <t>PEDALBOX J1</t>
        </is>
      </c>
      <c r="B44" s="9" t="inlineStr">
        <is>
          <t>M</t>
        </is>
      </c>
      <c r="C44" s="9" t="inlineStr">
        <is>
          <t>BRK_PRESS_Supply</t>
        </is>
      </c>
      <c r="D44" s="9" t="inlineStr">
        <is>
          <t>OUT</t>
        </is>
      </c>
      <c r="E44" s="9" t="inlineStr">
        <is>
          <t>5V</t>
        </is>
      </c>
      <c r="F44" s="11">
        <f>IF(N44="","",INDEX(Wires!$A$2:$A$1000,N44))</f>
        <v/>
      </c>
      <c r="G44" s="11">
        <f>IF(N44="","",INDEX(Wires!$C$2:$C$1000,N44))</f>
        <v/>
      </c>
      <c r="H44" s="11">
        <f>IF(N44="","",IF(O44="from",INDEX(Wires!$F$2:$F$1000,N44)&amp;":"&amp;INDEX(Wires!$G$2:$G$1000,N44),INDEX(Wires!$D$2:$D$1000,N44)&amp;":"&amp;INDEX(Wires!$E$2:$E$1000,N44)))</f>
        <v/>
      </c>
      <c r="I44" s="11">
        <f>IF(N44="","",INDEX(Wires!$H$2:$H$1000,N44)&amp;"")</f>
        <v/>
      </c>
      <c r="J44" s="11">
        <f>IF(N44="","",IF(INDEX(Wires!$I$2:$I$1000,N44)="","",INDEX(Wires!$I$2:$I$1000,N44)))</f>
        <v/>
      </c>
      <c r="K44" s="11">
        <f>COUNTIF(Wires!$W$2:$W$1000,M44)+COUNTIF(Wires!$X$2:$X$1000,M44)</f>
        <v/>
      </c>
      <c r="L44" s="11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1">
        <f>A44&amp;":"&amp;B44&amp;IF(EXACT(B44,UPPER(B44)),"","|lc")</f>
        <v/>
      </c>
      <c r="N44" s="11">
        <f>IFERROR(MATCH(M44,Wires!$W$2:$W$1000,0),IFERROR(MATCH(M44,Wires!$X$2:$X$1000,0),""))</f>
        <v/>
      </c>
      <c r="O44" s="11">
        <f>IF(N44="","",IF(ISNUMBER(MATCH(M44,Wires!$W$2:$W$1000,0)),"from","to"))</f>
        <v/>
      </c>
    </row>
    <row r="45">
      <c r="A45" s="9" t="inlineStr">
        <is>
          <t>PEDALBOX J1</t>
        </is>
      </c>
      <c r="B45" s="9" t="inlineStr">
        <is>
          <t>N</t>
        </is>
      </c>
      <c r="C45" s="9" t="inlineStr">
        <is>
          <t>BRK_PRESS</t>
        </is>
      </c>
      <c r="D45" s="9" t="inlineStr">
        <is>
          <t>IN</t>
        </is>
      </c>
      <c r="E45" s="9" t="inlineStr">
        <is>
          <t>Signal</t>
        </is>
      </c>
      <c r="F45" s="11">
        <f>IF(N45="","",INDEX(Wires!$A$2:$A$1000,N45))</f>
        <v/>
      </c>
      <c r="G45" s="11">
        <f>IF(N45="","",INDEX(Wires!$C$2:$C$1000,N45))</f>
        <v/>
      </c>
      <c r="H45" s="11">
        <f>IF(N45="","",IF(O45="from",INDEX(Wires!$F$2:$F$1000,N45)&amp;":"&amp;INDEX(Wires!$G$2:$G$1000,N45),INDEX(Wires!$D$2:$D$1000,N45)&amp;":"&amp;INDEX(Wires!$E$2:$E$1000,N45)))</f>
        <v/>
      </c>
      <c r="I45" s="11">
        <f>IF(N45="","",INDEX(Wires!$H$2:$H$1000,N45)&amp;"")</f>
        <v/>
      </c>
      <c r="J45" s="11">
        <f>IF(N45="","",IF(INDEX(Wires!$I$2:$I$1000,N45)="","",INDEX(Wires!$I$2:$I$1000,N45)))</f>
        <v/>
      </c>
      <c r="K45" s="11">
        <f>COUNTIF(Wires!$W$2:$W$1000,M45)+COUNTIF(Wires!$X$2:$X$1000,M45)</f>
        <v/>
      </c>
      <c r="L45" s="11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1">
        <f>A45&amp;":"&amp;B45&amp;IF(EXACT(B45,UPPER(B45)),"","|lc")</f>
        <v/>
      </c>
      <c r="N45" s="11">
        <f>IFERROR(MATCH(M45,Wires!$W$2:$W$1000,0),IFERROR(MATCH(M45,Wires!$X$2:$X$1000,0),""))</f>
        <v/>
      </c>
      <c r="O45" s="11">
        <f>IF(N45="","",IF(ISNUMBER(MATCH(M45,Wires!$W$2:$W$1000,0)),"from","to"))</f>
        <v/>
      </c>
    </row>
    <row r="46">
      <c r="A46" s="9" t="inlineStr">
        <is>
          <t>PEDALBOX J1</t>
        </is>
      </c>
      <c r="B46" s="9" t="inlineStr">
        <is>
          <t>O</t>
        </is>
      </c>
      <c r="C46" s="9" t="inlineStr">
        <is>
          <t>BRK_PRESS_GND</t>
        </is>
      </c>
      <c r="D46" s="9" t="inlineStr">
        <is>
          <t>OUT</t>
        </is>
      </c>
      <c r="E46" s="9" t="inlineStr">
        <is>
          <t>0V</t>
        </is>
      </c>
      <c r="F46" s="11">
        <f>IF(N46="","",INDEX(Wires!$A$2:$A$1000,N46))</f>
        <v/>
      </c>
      <c r="G46" s="11">
        <f>IF(N46="","",INDEX(Wires!$C$2:$C$1000,N46))</f>
        <v/>
      </c>
      <c r="H46" s="11">
        <f>IF(N46="","",IF(O46="from",INDEX(Wires!$F$2:$F$1000,N46)&amp;":"&amp;INDEX(Wires!$G$2:$G$1000,N46),INDEX(Wires!$D$2:$D$1000,N46)&amp;":"&amp;INDEX(Wires!$E$2:$E$1000,N46)))</f>
        <v/>
      </c>
      <c r="I46" s="11">
        <f>IF(N46="","",INDEX(Wires!$H$2:$H$1000,N46)&amp;"")</f>
        <v/>
      </c>
      <c r="J46" s="11">
        <f>IF(N46="","",IF(INDEX(Wires!$I$2:$I$1000,N46)="","",INDEX(Wires!$I$2:$I$1000,N46)))</f>
        <v/>
      </c>
      <c r="K46" s="11">
        <f>COUNTIF(Wires!$W$2:$W$1000,M46)+COUNTIF(Wires!$X$2:$X$1000,M46)</f>
        <v/>
      </c>
      <c r="L46" s="11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1">
        <f>A46&amp;":"&amp;B46&amp;IF(EXACT(B46,UPPER(B46)),"","|lc")</f>
        <v/>
      </c>
      <c r="N46" s="11">
        <f>IFERROR(MATCH(M46,Wires!$W$2:$W$1000,0),IFERROR(MATCH(M46,Wires!$X$2:$X$1000,0),""))</f>
        <v/>
      </c>
      <c r="O46" s="11">
        <f>IF(N46="","",IF(ISNUMBER(MATCH(M46,Wires!$W$2:$W$1000,0)),"from","to"))</f>
        <v/>
      </c>
    </row>
    <row r="47">
      <c r="A47" s="9" t="inlineStr">
        <is>
          <t>PEDALBOX J1</t>
        </is>
      </c>
      <c r="B47" s="9" t="inlineStr">
        <is>
          <t>P</t>
        </is>
      </c>
      <c r="C47" s="9" t="inlineStr">
        <is>
          <t>RES</t>
        </is>
      </c>
      <c r="D47" s="9" t="inlineStr">
        <is>
          <t>IN</t>
        </is>
      </c>
      <c r="E47" s="9" t="inlineStr">
        <is>
          <t>24V</t>
        </is>
      </c>
      <c r="F47" s="11">
        <f>IF(N47="","",INDEX(Wires!$A$2:$A$1000,N47))</f>
        <v/>
      </c>
      <c r="G47" s="11">
        <f>IF(N47="","",INDEX(Wires!$C$2:$C$1000,N47))</f>
        <v/>
      </c>
      <c r="H47" s="11">
        <f>IF(N47="","",IF(O47="from",INDEX(Wires!$F$2:$F$1000,N47)&amp;":"&amp;INDEX(Wires!$G$2:$G$1000,N47),INDEX(Wires!$D$2:$D$1000,N47)&amp;":"&amp;INDEX(Wires!$E$2:$E$1000,N47)))</f>
        <v/>
      </c>
      <c r="I47" s="11">
        <f>IF(N47="","",INDEX(Wires!$H$2:$H$1000,N47)&amp;"")</f>
        <v/>
      </c>
      <c r="J47" s="11">
        <f>IF(N47="","",IF(INDEX(Wires!$I$2:$I$1000,N47)="","",INDEX(Wires!$I$2:$I$1000,N47)))</f>
        <v/>
      </c>
      <c r="K47" s="11">
        <f>COUNTIF(Wires!$W$2:$W$1000,M47)+COUNTIF(Wires!$X$2:$X$1000,M47)</f>
        <v/>
      </c>
      <c r="L47" s="11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1">
        <f>A47&amp;":"&amp;B47&amp;IF(EXACT(B47,UPPER(B47)),"","|lc")</f>
        <v/>
      </c>
      <c r="N47" s="11">
        <f>IFERROR(MATCH(M47,Wires!$W$2:$W$1000,0),IFERROR(MATCH(M47,Wires!$X$2:$X$1000,0),""))</f>
        <v/>
      </c>
      <c r="O47" s="11">
        <f>IF(N47="","",IF(ISNUMBER(MATCH(M47,Wires!$W$2:$W$1000,0)),"from","to"))</f>
        <v/>
      </c>
    </row>
    <row r="48">
      <c r="A48" s="9" t="inlineStr">
        <is>
          <t>PEDALBOX J1</t>
        </is>
      </c>
      <c r="B48" s="9" t="inlineStr">
        <is>
          <t>Q</t>
        </is>
      </c>
      <c r="C48" s="9" t="inlineStr">
        <is>
          <t>BOTS</t>
        </is>
      </c>
      <c r="D48" s="9" t="inlineStr">
        <is>
          <t>IN</t>
        </is>
      </c>
      <c r="E48" s="9" t="inlineStr">
        <is>
          <t>24V</t>
        </is>
      </c>
      <c r="F48" s="11">
        <f>IF(N48="","",INDEX(Wires!$A$2:$A$1000,N48))</f>
        <v/>
      </c>
      <c r="G48" s="11">
        <f>IF(N48="","",INDEX(Wires!$C$2:$C$1000,N48))</f>
        <v/>
      </c>
      <c r="H48" s="11">
        <f>IF(N48="","",IF(O48="from",INDEX(Wires!$F$2:$F$1000,N48)&amp;":"&amp;INDEX(Wires!$G$2:$G$1000,N48),INDEX(Wires!$D$2:$D$1000,N48)&amp;":"&amp;INDEX(Wires!$E$2:$E$1000,N48)))</f>
        <v/>
      </c>
      <c r="I48" s="11">
        <f>IF(N48="","",INDEX(Wires!$H$2:$H$1000,N48)&amp;"")</f>
        <v/>
      </c>
      <c r="J48" s="11">
        <f>IF(N48="","",IF(INDEX(Wires!$I$2:$I$1000,N48)="","",INDEX(Wires!$I$2:$I$1000,N48)))</f>
        <v/>
      </c>
      <c r="K48" s="11">
        <f>COUNTIF(Wires!$W$2:$W$1000,M48)+COUNTIF(Wires!$X$2:$X$1000,M48)</f>
        <v/>
      </c>
      <c r="L48" s="11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1">
        <f>A48&amp;":"&amp;B48&amp;IF(EXACT(B48,UPPER(B48)),"","|lc")</f>
        <v/>
      </c>
      <c r="N48" s="11">
        <f>IFERROR(MATCH(M48,Wires!$W$2:$W$1000,0),IFERROR(MATCH(M48,Wires!$X$2:$X$1000,0),""))</f>
        <v/>
      </c>
      <c r="O48" s="11">
        <f>IF(N48="","",IF(ISNUMBER(MATCH(M48,Wires!$W$2:$W$1000,0)),"from","to"))</f>
        <v/>
      </c>
    </row>
    <row r="49">
      <c r="A49" s="9" t="inlineStr">
        <is>
          <t>PEDALBOX J1</t>
        </is>
      </c>
      <c r="B49" s="9" t="inlineStr">
        <is>
          <t>R</t>
        </is>
      </c>
      <c r="C49" s="9" t="n"/>
      <c r="D49" s="9" t="n"/>
      <c r="E49" s="9" t="n"/>
      <c r="F49" s="11">
        <f>IF(N49="","",INDEX(Wires!$A$2:$A$1000,N49))</f>
        <v/>
      </c>
      <c r="G49" s="11">
        <f>IF(N49="","",INDEX(Wires!$C$2:$C$1000,N49))</f>
        <v/>
      </c>
      <c r="H49" s="11">
        <f>IF(N49="","",IF(O49="from",INDEX(Wires!$F$2:$F$1000,N49)&amp;":"&amp;INDEX(Wires!$G$2:$G$1000,N49),INDEX(Wires!$D$2:$D$1000,N49)&amp;":"&amp;INDEX(Wires!$E$2:$E$1000,N49)))</f>
        <v/>
      </c>
      <c r="I49" s="11">
        <f>IF(N49="","",INDEX(Wires!$H$2:$H$1000,N49)&amp;"")</f>
        <v/>
      </c>
      <c r="J49" s="11">
        <f>IF(N49="","",IF(INDEX(Wires!$I$2:$I$1000,N49)="","",INDEX(Wires!$I$2:$I$1000,N49)))</f>
        <v/>
      </c>
      <c r="K49" s="11">
        <f>COUNTIF(Wires!$W$2:$W$1000,M49)+COUNTIF(Wires!$X$2:$X$1000,M49)</f>
        <v/>
      </c>
      <c r="L49" s="11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1">
        <f>A49&amp;":"&amp;B49&amp;IF(EXACT(B49,UPPER(B49)),"","|lc")</f>
        <v/>
      </c>
      <c r="N49" s="11">
        <f>IFERROR(MATCH(M49,Wires!$W$2:$W$1000,0),IFERROR(MATCH(M49,Wires!$X$2:$X$1000,0),""))</f>
        <v/>
      </c>
      <c r="O49" s="11">
        <f>IF(N49="","",IF(ISNUMBER(MATCH(M49,Wires!$W$2:$W$1000,0)),"from","to"))</f>
        <v/>
      </c>
    </row>
    <row r="50">
      <c r="A50" s="9" t="inlineStr">
        <is>
          <t>PEDALBOX J1</t>
        </is>
      </c>
      <c r="B50" s="9" t="inlineStr">
        <is>
          <t>S</t>
        </is>
      </c>
      <c r="C50" s="9" t="n"/>
      <c r="D50" s="9" t="n"/>
      <c r="E50" s="9" t="n"/>
      <c r="F50" s="11">
        <f>IF(N50="","",INDEX(Wires!$A$2:$A$1000,N50))</f>
        <v/>
      </c>
      <c r="G50" s="11">
        <f>IF(N50="","",INDEX(Wires!$C$2:$C$1000,N50))</f>
        <v/>
      </c>
      <c r="H50" s="11">
        <f>IF(N50="","",IF(O50="from",INDEX(Wires!$F$2:$F$1000,N50)&amp;":"&amp;INDEX(Wires!$G$2:$G$1000,N50),INDEX(Wires!$D$2:$D$1000,N50)&amp;":"&amp;INDEX(Wires!$E$2:$E$1000,N50)))</f>
        <v/>
      </c>
      <c r="I50" s="11">
        <f>IF(N50="","",INDEX(Wires!$H$2:$H$1000,N50)&amp;"")</f>
        <v/>
      </c>
      <c r="J50" s="11">
        <f>IF(N50="","",IF(INDEX(Wires!$I$2:$I$1000,N50)="","",INDEX(Wires!$I$2:$I$1000,N50)))</f>
        <v/>
      </c>
      <c r="K50" s="11">
        <f>COUNTIF(Wires!$W$2:$W$1000,M50)+COUNTIF(Wires!$X$2:$X$1000,M50)</f>
        <v/>
      </c>
      <c r="L50" s="11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1">
        <f>A50&amp;":"&amp;B50&amp;IF(EXACT(B50,UPPER(B50)),"","|lc")</f>
        <v/>
      </c>
      <c r="N50" s="11">
        <f>IFERROR(MATCH(M50,Wires!$W$2:$W$1000,0),IFERROR(MATCH(M50,Wires!$X$2:$X$1000,0),""))</f>
        <v/>
      </c>
      <c r="O50" s="11">
        <f>IF(N50="","",IF(ISNUMBER(MATCH(M50,Wires!$W$2:$W$1000,0)),"from","to"))</f>
        <v/>
      </c>
    </row>
    <row r="51">
      <c r="A51" s="9" t="inlineStr">
        <is>
          <t>APPS1</t>
        </is>
      </c>
      <c r="B51" s="9" t="inlineStr">
        <is>
          <t>Power Pin</t>
        </is>
      </c>
      <c r="C51" s="9" t="n"/>
      <c r="D51" s="9" t="n"/>
      <c r="E51" s="9" t="n"/>
      <c r="F51" s="11">
        <f>IF(N51="","",INDEX(Wires!$A$2:$A$1000,N51))</f>
        <v/>
      </c>
      <c r="G51" s="11">
        <f>IF(N51="","",INDEX(Wires!$C$2:$C$1000,N51))</f>
        <v/>
      </c>
      <c r="H51" s="11">
        <f>IF(N51="","",IF(O51="from",INDEX(Wires!$F$2:$F$1000,N51)&amp;":"&amp;INDEX(Wires!$G$2:$G$1000,N51),INDEX(Wires!$D$2:$D$1000,N51)&amp;":"&amp;INDEX(Wires!$E$2:$E$1000,N51)))</f>
        <v/>
      </c>
      <c r="I51" s="11">
        <f>IF(N51="","",INDEX(Wires!$H$2:$H$1000,N51)&amp;"")</f>
        <v/>
      </c>
      <c r="J51" s="11">
        <f>IF(N51="","",IF(INDEX(Wires!$I$2:$I$1000,N51)="","",INDEX(Wires!$I$2:$I$1000,N51)))</f>
        <v/>
      </c>
      <c r="K51" s="11">
        <f>COUNTIF(Wires!$W$2:$W$1000,M51)+COUNTIF(Wires!$X$2:$X$1000,M51)</f>
        <v/>
      </c>
      <c r="L51" s="11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1">
        <f>A51&amp;":"&amp;B51&amp;IF(EXACT(B51,UPPER(B51)),"","|lc")</f>
        <v/>
      </c>
      <c r="N51" s="11">
        <f>IFERROR(MATCH(M51,Wires!$W$2:$W$1000,0),IFERROR(MATCH(M51,Wires!$X$2:$X$1000,0),""))</f>
        <v/>
      </c>
      <c r="O51" s="11">
        <f>IF(N51="","",IF(ISNUMBER(MATCH(M51,Wires!$W$2:$W$1000,0)),"from","to"))</f>
        <v/>
      </c>
    </row>
    <row r="52">
      <c r="A52" s="9" t="inlineStr">
        <is>
          <t>APPS1</t>
        </is>
      </c>
      <c r="B52" s="9" t="inlineStr">
        <is>
          <t>Signal Pin</t>
        </is>
      </c>
      <c r="C52" s="9" t="n"/>
      <c r="D52" s="9" t="n"/>
      <c r="E52" s="9" t="n"/>
      <c r="F52" s="11">
        <f>IF(N52="","",INDEX(Wires!$A$2:$A$1000,N52))</f>
        <v/>
      </c>
      <c r="G52" s="11">
        <f>IF(N52="","",INDEX(Wires!$C$2:$C$1000,N52))</f>
        <v/>
      </c>
      <c r="H52" s="11">
        <f>IF(N52="","",IF(O52="from",INDEX(Wires!$F$2:$F$1000,N52)&amp;":"&amp;INDEX(Wires!$G$2:$G$1000,N52),INDEX(Wires!$D$2:$D$1000,N52)&amp;":"&amp;INDEX(Wires!$E$2:$E$1000,N52)))</f>
        <v/>
      </c>
      <c r="I52" s="11">
        <f>IF(N52="","",INDEX(Wires!$H$2:$H$1000,N52)&amp;"")</f>
        <v/>
      </c>
      <c r="J52" s="11">
        <f>IF(N52="","",IF(INDEX(Wires!$I$2:$I$1000,N52)="","",INDEX(Wires!$I$2:$I$1000,N52)))</f>
        <v/>
      </c>
      <c r="K52" s="11">
        <f>COUNTIF(Wires!$W$2:$W$1000,M52)+COUNTIF(Wires!$X$2:$X$1000,M52)</f>
        <v/>
      </c>
      <c r="L52" s="11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1">
        <f>A52&amp;":"&amp;B52&amp;IF(EXACT(B52,UPPER(B52)),"","|lc")</f>
        <v/>
      </c>
      <c r="N52" s="11">
        <f>IFERROR(MATCH(M52,Wires!$W$2:$W$1000,0),IFERROR(MATCH(M52,Wires!$X$2:$X$1000,0),""))</f>
        <v/>
      </c>
      <c r="O52" s="11">
        <f>IF(N52="","",IF(ISNUMBER(MATCH(M52,Wires!$W$2:$W$1000,0)),"from","to"))</f>
        <v/>
      </c>
    </row>
    <row r="53">
      <c r="A53" s="9" t="inlineStr">
        <is>
          <t>APPS1</t>
        </is>
      </c>
      <c r="B53" s="9" t="inlineStr">
        <is>
          <t>Ground Pin</t>
        </is>
      </c>
      <c r="C53" s="9" t="n"/>
      <c r="D53" s="9" t="n"/>
      <c r="E53" s="9" t="n"/>
      <c r="F53" s="11">
        <f>IF(N53="","",INDEX(Wires!$A$2:$A$1000,N53))</f>
        <v/>
      </c>
      <c r="G53" s="11">
        <f>IF(N53="","",INDEX(Wires!$C$2:$C$1000,N53))</f>
        <v/>
      </c>
      <c r="H53" s="11">
        <f>IF(N53="","",IF(O53="from",INDEX(Wires!$F$2:$F$1000,N53)&amp;":"&amp;INDEX(Wires!$G$2:$G$1000,N53),INDEX(Wires!$D$2:$D$1000,N53)&amp;":"&amp;INDEX(Wires!$E$2:$E$1000,N53)))</f>
        <v/>
      </c>
      <c r="I53" s="11">
        <f>IF(N53="","",INDEX(Wires!$H$2:$H$1000,N53)&amp;"")</f>
        <v/>
      </c>
      <c r="J53" s="11">
        <f>IF(N53="","",IF(INDEX(Wires!$I$2:$I$1000,N53)="","",INDEX(Wires!$I$2:$I$1000,N53)))</f>
        <v/>
      </c>
      <c r="K53" s="11">
        <f>COUNTIF(Wires!$W$2:$W$1000,M53)+COUNTIF(Wires!$X$2:$X$1000,M53)</f>
        <v/>
      </c>
      <c r="L53" s="11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1">
        <f>A53&amp;":"&amp;B53&amp;IF(EXACT(B53,UPPER(B53)),"","|lc")</f>
        <v/>
      </c>
      <c r="N53" s="11">
        <f>IFERROR(MATCH(M53,Wires!$W$2:$W$1000,0),IFERROR(MATCH(M53,Wires!$X$2:$X$1000,0),""))</f>
        <v/>
      </c>
      <c r="O53" s="11">
        <f>IF(N53="","",IF(ISNUMBER(MATCH(M53,Wires!$W$2:$W$1000,0)),"from","to"))</f>
        <v/>
      </c>
    </row>
    <row r="54">
      <c r="A54" s="9" t="inlineStr">
        <is>
          <t>APPS2</t>
        </is>
      </c>
      <c r="B54" s="9" t="inlineStr">
        <is>
          <t>Power Pin</t>
        </is>
      </c>
      <c r="C54" s="9" t="n"/>
      <c r="D54" s="9" t="n"/>
      <c r="E54" s="9" t="n"/>
      <c r="F54" s="11">
        <f>IF(N54="","",INDEX(Wires!$A$2:$A$1000,N54))</f>
        <v/>
      </c>
      <c r="G54" s="11">
        <f>IF(N54="","",INDEX(Wires!$C$2:$C$1000,N54))</f>
        <v/>
      </c>
      <c r="H54" s="11">
        <f>IF(N54="","",IF(O54="from",INDEX(Wires!$F$2:$F$1000,N54)&amp;":"&amp;INDEX(Wires!$G$2:$G$1000,N54),INDEX(Wires!$D$2:$D$1000,N54)&amp;":"&amp;INDEX(Wires!$E$2:$E$1000,N54)))</f>
        <v/>
      </c>
      <c r="I54" s="11">
        <f>IF(N54="","",INDEX(Wires!$H$2:$H$1000,N54)&amp;"")</f>
        <v/>
      </c>
      <c r="J54" s="11">
        <f>IF(N54="","",IF(INDEX(Wires!$I$2:$I$1000,N54)="","",INDEX(Wires!$I$2:$I$1000,N54)))</f>
        <v/>
      </c>
      <c r="K54" s="11">
        <f>COUNTIF(Wires!$W$2:$W$1000,M54)+COUNTIF(Wires!$X$2:$X$1000,M54)</f>
        <v/>
      </c>
      <c r="L54" s="11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1">
        <f>A54&amp;":"&amp;B54&amp;IF(EXACT(B54,UPPER(B54)),"","|lc")</f>
        <v/>
      </c>
      <c r="N54" s="11">
        <f>IFERROR(MATCH(M54,Wires!$W$2:$W$1000,0),IFERROR(MATCH(M54,Wires!$X$2:$X$1000,0),""))</f>
        <v/>
      </c>
      <c r="O54" s="11">
        <f>IF(N54="","",IF(ISNUMBER(MATCH(M54,Wires!$W$2:$W$1000,0)),"from","to"))</f>
        <v/>
      </c>
    </row>
    <row r="55">
      <c r="A55" s="9" t="inlineStr">
        <is>
          <t>APPS2</t>
        </is>
      </c>
      <c r="B55" s="9" t="inlineStr">
        <is>
          <t>Signal Pin</t>
        </is>
      </c>
      <c r="C55" s="9" t="n"/>
      <c r="D55" s="9" t="n"/>
      <c r="E55" s="9" t="n"/>
      <c r="F55" s="11">
        <f>IF(N55="","",INDEX(Wires!$A$2:$A$1000,N55))</f>
        <v/>
      </c>
      <c r="G55" s="11">
        <f>IF(N55="","",INDEX(Wires!$C$2:$C$1000,N55))</f>
        <v/>
      </c>
      <c r="H55" s="11">
        <f>IF(N55="","",IF(O55="from",INDEX(Wires!$F$2:$F$1000,N55)&amp;":"&amp;INDEX(Wires!$G$2:$G$1000,N55),INDEX(Wires!$D$2:$D$1000,N55)&amp;":"&amp;INDEX(Wires!$E$2:$E$1000,N55)))</f>
        <v/>
      </c>
      <c r="I55" s="11">
        <f>IF(N55="","",INDEX(Wires!$H$2:$H$1000,N55)&amp;"")</f>
        <v/>
      </c>
      <c r="J55" s="11">
        <f>IF(N55="","",IF(INDEX(Wires!$I$2:$I$1000,N55)="","",INDEX(Wires!$I$2:$I$1000,N55)))</f>
        <v/>
      </c>
      <c r="K55" s="11">
        <f>COUNTIF(Wires!$W$2:$W$1000,M55)+COUNTIF(Wires!$X$2:$X$1000,M55)</f>
        <v/>
      </c>
      <c r="L55" s="11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1">
        <f>A55&amp;":"&amp;B55&amp;IF(EXACT(B55,UPPER(B55)),"","|lc")</f>
        <v/>
      </c>
      <c r="N55" s="11">
        <f>IFERROR(MATCH(M55,Wires!$W$2:$W$1000,0),IFERROR(MATCH(M55,Wires!$X$2:$X$1000,0),""))</f>
        <v/>
      </c>
      <c r="O55" s="11">
        <f>IF(N55="","",IF(ISNUMBER(MATCH(M55,Wires!$W$2:$W$1000,0)),"from","to"))</f>
        <v/>
      </c>
    </row>
    <row r="56">
      <c r="A56" s="9" t="inlineStr">
        <is>
          <t>APPS2</t>
        </is>
      </c>
      <c r="B56" s="9" t="inlineStr">
        <is>
          <t>Ground Pin</t>
        </is>
      </c>
      <c r="C56" s="9" t="n"/>
      <c r="D56" s="9" t="n"/>
      <c r="E56" s="9" t="n"/>
      <c r="F56" s="11">
        <f>IF(N56="","",INDEX(Wires!$A$2:$A$1000,N56))</f>
        <v/>
      </c>
      <c r="G56" s="11">
        <f>IF(N56="","",INDEX(Wires!$C$2:$C$1000,N56))</f>
        <v/>
      </c>
      <c r="H56" s="11">
        <f>IF(N56="","",IF(O56="from",INDEX(Wires!$F$2:$F$1000,N56)&amp;":"&amp;INDEX(Wires!$G$2:$G$1000,N56),INDEX(Wires!$D$2:$D$1000,N56)&amp;":"&amp;INDEX(Wires!$E$2:$E$1000,N56)))</f>
        <v/>
      </c>
      <c r="I56" s="11">
        <f>IF(N56="","",INDEX(Wires!$H$2:$H$1000,N56)&amp;"")</f>
        <v/>
      </c>
      <c r="J56" s="11">
        <f>IF(N56="","",IF(INDEX(Wires!$I$2:$I$1000,N56)="","",INDEX(Wires!$I$2:$I$1000,N56)))</f>
        <v/>
      </c>
      <c r="K56" s="11">
        <f>COUNTIF(Wires!$W$2:$W$1000,M56)+COUNTIF(Wires!$X$2:$X$1000,M56)</f>
        <v/>
      </c>
      <c r="L56" s="11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1">
        <f>A56&amp;":"&amp;B56&amp;IF(EXACT(B56,UPPER(B56)),"","|lc")</f>
        <v/>
      </c>
      <c r="N56" s="11">
        <f>IFERROR(MATCH(M56,Wires!$W$2:$W$1000,0),IFERROR(MATCH(M56,Wires!$X$2:$X$1000,0),""))</f>
        <v/>
      </c>
      <c r="O56" s="11">
        <f>IF(N56="","",IF(ISNUMBER(MATCH(M56,Wires!$W$2:$W$1000,0)),"from","to"))</f>
        <v/>
      </c>
    </row>
    <row r="57">
      <c r="A57" s="9" t="inlineStr">
        <is>
          <t>FRONT BRAKE PRESSURE</t>
        </is>
      </c>
      <c r="B57" s="9" t="inlineStr">
        <is>
          <t>Power Pin</t>
        </is>
      </c>
      <c r="C57" s="9" t="n"/>
      <c r="D57" s="9" t="n"/>
      <c r="E57" s="9" t="n"/>
      <c r="F57" s="11">
        <f>IF(N57="","",INDEX(Wires!$A$2:$A$1000,N57))</f>
        <v/>
      </c>
      <c r="G57" s="11">
        <f>IF(N57="","",INDEX(Wires!$C$2:$C$1000,N57))</f>
        <v/>
      </c>
      <c r="H57" s="11">
        <f>IF(N57="","",IF(O57="from",INDEX(Wires!$F$2:$F$1000,N57)&amp;":"&amp;INDEX(Wires!$G$2:$G$1000,N57),INDEX(Wires!$D$2:$D$1000,N57)&amp;":"&amp;INDEX(Wires!$E$2:$E$1000,N57)))</f>
        <v/>
      </c>
      <c r="I57" s="11">
        <f>IF(N57="","",INDEX(Wires!$H$2:$H$1000,N57)&amp;"")</f>
        <v/>
      </c>
      <c r="J57" s="11">
        <f>IF(N57="","",IF(INDEX(Wires!$I$2:$I$1000,N57)="","",INDEX(Wires!$I$2:$I$1000,N57)))</f>
        <v/>
      </c>
      <c r="K57" s="11">
        <f>COUNTIF(Wires!$W$2:$W$1000,M57)+COUNTIF(Wires!$X$2:$X$1000,M57)</f>
        <v/>
      </c>
      <c r="L57" s="11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1">
        <f>A57&amp;":"&amp;B57&amp;IF(EXACT(B57,UPPER(B57)),"","|lc")</f>
        <v/>
      </c>
      <c r="N57" s="11">
        <f>IFERROR(MATCH(M57,Wires!$W$2:$W$1000,0),IFERROR(MATCH(M57,Wires!$X$2:$X$1000,0),""))</f>
        <v/>
      </c>
      <c r="O57" s="11">
        <f>IF(N57="","",IF(ISNUMBER(MATCH(M57,Wires!$W$2:$W$1000,0)),"from","to"))</f>
        <v/>
      </c>
    </row>
    <row r="58">
      <c r="A58" s="9" t="inlineStr">
        <is>
          <t>FRONT BRAKE PRESSURE</t>
        </is>
      </c>
      <c r="B58" s="9" t="inlineStr">
        <is>
          <t>Signal Pin</t>
        </is>
      </c>
      <c r="C58" s="9" t="n"/>
      <c r="D58" s="9" t="n"/>
      <c r="E58" s="9" t="n"/>
      <c r="F58" s="11">
        <f>IF(N58="","",INDEX(Wires!$A$2:$A$1000,N58))</f>
        <v/>
      </c>
      <c r="G58" s="11">
        <f>IF(N58="","",INDEX(Wires!$C$2:$C$1000,N58))</f>
        <v/>
      </c>
      <c r="H58" s="11">
        <f>IF(N58="","",IF(O58="from",INDEX(Wires!$F$2:$F$1000,N58)&amp;":"&amp;INDEX(Wires!$G$2:$G$1000,N58),INDEX(Wires!$D$2:$D$1000,N58)&amp;":"&amp;INDEX(Wires!$E$2:$E$1000,N58)))</f>
        <v/>
      </c>
      <c r="I58" s="11">
        <f>IF(N58="","",INDEX(Wires!$H$2:$H$1000,N58)&amp;"")</f>
        <v/>
      </c>
      <c r="J58" s="11">
        <f>IF(N58="","",IF(INDEX(Wires!$I$2:$I$1000,N58)="","",INDEX(Wires!$I$2:$I$1000,N58)))</f>
        <v/>
      </c>
      <c r="K58" s="11">
        <f>COUNTIF(Wires!$W$2:$W$1000,M58)+COUNTIF(Wires!$X$2:$X$1000,M58)</f>
        <v/>
      </c>
      <c r="L58" s="11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1">
        <f>A58&amp;":"&amp;B58&amp;IF(EXACT(B58,UPPER(B58)),"","|lc")</f>
        <v/>
      </c>
      <c r="N58" s="11">
        <f>IFERROR(MATCH(M58,Wires!$W$2:$W$1000,0),IFERROR(MATCH(M58,Wires!$X$2:$X$1000,0),""))</f>
        <v/>
      </c>
      <c r="O58" s="11">
        <f>IF(N58="","",IF(ISNUMBER(MATCH(M58,Wires!$W$2:$W$1000,0)),"from","to"))</f>
        <v/>
      </c>
    </row>
    <row r="59">
      <c r="A59" s="9" t="inlineStr">
        <is>
          <t>FRONT BRAKE PRESSURE</t>
        </is>
      </c>
      <c r="B59" s="9" t="inlineStr">
        <is>
          <t>Ground Pin</t>
        </is>
      </c>
      <c r="C59" s="9" t="n"/>
      <c r="D59" s="9" t="n"/>
      <c r="E59" s="9" t="n"/>
      <c r="F59" s="11">
        <f>IF(N59="","",INDEX(Wires!$A$2:$A$1000,N59))</f>
        <v/>
      </c>
      <c r="G59" s="11">
        <f>IF(N59="","",INDEX(Wires!$C$2:$C$1000,N59))</f>
        <v/>
      </c>
      <c r="H59" s="11">
        <f>IF(N59="","",IF(O59="from",INDEX(Wires!$F$2:$F$1000,N59)&amp;":"&amp;INDEX(Wires!$G$2:$G$1000,N59),INDEX(Wires!$D$2:$D$1000,N59)&amp;":"&amp;INDEX(Wires!$E$2:$E$1000,N59)))</f>
        <v/>
      </c>
      <c r="I59" s="11">
        <f>IF(N59="","",INDEX(Wires!$H$2:$H$1000,N59)&amp;"")</f>
        <v/>
      </c>
      <c r="J59" s="11">
        <f>IF(N59="","",IF(INDEX(Wires!$I$2:$I$1000,N59)="","",INDEX(Wires!$I$2:$I$1000,N59)))</f>
        <v/>
      </c>
      <c r="K59" s="11">
        <f>COUNTIF(Wires!$W$2:$W$1000,M59)+COUNTIF(Wires!$X$2:$X$1000,M59)</f>
        <v/>
      </c>
      <c r="L59" s="11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1">
        <f>A59&amp;":"&amp;B59&amp;IF(EXACT(B59,UPPER(B59)),"","|lc")</f>
        <v/>
      </c>
      <c r="N59" s="11">
        <f>IFERROR(MATCH(M59,Wires!$W$2:$W$1000,0),IFERROR(MATCH(M59,Wires!$X$2:$X$1000,0),""))</f>
        <v/>
      </c>
      <c r="O59" s="11">
        <f>IF(N59="","",IF(ISNUMBER(MATCH(M59,Wires!$W$2:$W$1000,0)),"from","to"))</f>
        <v/>
      </c>
    </row>
    <row r="60">
      <c r="A60" s="9" t="inlineStr">
        <is>
          <t>RES</t>
        </is>
      </c>
      <c r="B60" s="9" t="inlineStr">
        <is>
          <t>RES</t>
        </is>
      </c>
      <c r="C60" s="9" t="n"/>
      <c r="D60" s="9" t="n"/>
      <c r="E60" s="9" t="n"/>
      <c r="F60" s="11">
        <f>IF(N60="","",INDEX(Wires!$A$2:$A$1000,N60))</f>
        <v/>
      </c>
      <c r="G60" s="11">
        <f>IF(N60="","",INDEX(Wires!$C$2:$C$1000,N60))</f>
        <v/>
      </c>
      <c r="H60" s="11">
        <f>IF(N60="","",IF(O60="from",INDEX(Wires!$F$2:$F$1000,N60)&amp;":"&amp;INDEX(Wires!$G$2:$G$1000,N60),INDEX(Wires!$D$2:$D$1000,N60)&amp;":"&amp;INDEX(Wires!$E$2:$E$1000,N60)))</f>
        <v/>
      </c>
      <c r="I60" s="11">
        <f>IF(N60="","",INDEX(Wires!$H$2:$H$1000,N60)&amp;"")</f>
        <v/>
      </c>
      <c r="J60" s="11">
        <f>IF(N60="","",IF(INDEX(Wires!$I$2:$I$1000,N60)="","",INDEX(Wires!$I$2:$I$1000,N60)))</f>
        <v/>
      </c>
      <c r="K60" s="11">
        <f>COUNTIF(Wires!$W$2:$W$1000,M60)+COUNTIF(Wires!$X$2:$X$1000,M60)</f>
        <v/>
      </c>
      <c r="L60" s="11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1">
        <f>A60&amp;":"&amp;B60&amp;IF(EXACT(B60,UPPER(B60)),"","|lc")</f>
        <v/>
      </c>
      <c r="N60" s="11">
        <f>IFERROR(MATCH(M60,Wires!$W$2:$W$1000,0),IFERROR(MATCH(M60,Wires!$X$2:$X$1000,0),""))</f>
        <v/>
      </c>
      <c r="O60" s="11">
        <f>IF(N60="","",IF(ISNUMBER(MATCH(M60,Wires!$W$2:$W$1000,0)),"from","to"))</f>
        <v/>
      </c>
    </row>
    <row r="61">
      <c r="A61" s="9" t="inlineStr">
        <is>
          <t>BOTS</t>
        </is>
      </c>
      <c r="B61" s="9" t="inlineStr">
        <is>
          <t>BOTS</t>
        </is>
      </c>
      <c r="C61" s="9" t="n"/>
      <c r="D61" s="9" t="n"/>
      <c r="E61" s="9" t="n"/>
      <c r="F61" s="11">
        <f>IF(N61="","",INDEX(Wires!$A$2:$A$1000,N61))</f>
        <v/>
      </c>
      <c r="G61" s="11">
        <f>IF(N61="","",INDEX(Wires!$C$2:$C$1000,N61))</f>
        <v/>
      </c>
      <c r="H61" s="11">
        <f>IF(N61="","",IF(O61="from",INDEX(Wires!$F$2:$F$1000,N61)&amp;":"&amp;INDEX(Wires!$G$2:$G$1000,N61),INDEX(Wires!$D$2:$D$1000,N61)&amp;":"&amp;INDEX(Wires!$E$2:$E$1000,N61)))</f>
        <v/>
      </c>
      <c r="I61" s="11">
        <f>IF(N61="","",INDEX(Wires!$H$2:$H$1000,N61)&amp;"")</f>
        <v/>
      </c>
      <c r="J61" s="11">
        <f>IF(N61="","",IF(INDEX(Wires!$I$2:$I$1000,N61)="","",INDEX(Wires!$I$2:$I$1000,N61)))</f>
        <v/>
      </c>
      <c r="K61" s="11">
        <f>COUNTIF(Wires!$W$2:$W$1000,M61)+COUNTIF(Wires!$X$2:$X$1000,M61)</f>
        <v/>
      </c>
      <c r="L61" s="11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1">
        <f>A61&amp;":"&amp;B61&amp;IF(EXACT(B61,UPPER(B61)),"","|lc")</f>
        <v/>
      </c>
      <c r="N61" s="11">
        <f>IFERROR(MATCH(M61,Wires!$W$2:$W$1000,0),IFERROR(MATCH(M61,Wires!$X$2:$X$1000,0),""))</f>
        <v/>
      </c>
      <c r="O61" s="11">
        <f>IF(N61="","",IF(ISNUMBER(MATCH(M61,Wires!$W$2:$W$1000,0)),"from","to"))</f>
        <v/>
      </c>
    </row>
  </sheetData>
  <autoFilter ref="A1:O61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3" t="inlineStr">
        <is>
          <t>1-794617-0</t>
        </is>
      </c>
      <c r="B2" s="9" t="inlineStr">
        <is>
          <t>TE Micro MATE-N-LOK</t>
        </is>
      </c>
      <c r="C2" s="9" t="inlineStr">
        <is>
          <t>ficha</t>
        </is>
      </c>
      <c r="D2" s="9" t="inlineStr">
        <is>
          <t>10 vias · Acquisition, BSPD, Latch (10 vias)</t>
        </is>
      </c>
      <c r="E2" s="9" t="n"/>
      <c r="F2" s="9" t="inlineStr">
        <is>
          <t>Notion · LART Central / Electronics / Inventory Management / BOM Management / Connectors Harness (2026-10-22)</t>
        </is>
      </c>
      <c r="G2" s="9" t="inlineStr">
        <is>
          <t>N</t>
        </is>
      </c>
      <c r="H2" s="10" t="n"/>
    </row>
    <row r="3">
      <c r="A3" s="13" t="inlineStr">
        <is>
          <t>1-794617-2</t>
        </is>
      </c>
      <c r="B3" s="9" t="inlineStr">
        <is>
          <t>TE Micro MATE-N-LOK</t>
        </is>
      </c>
      <c r="C3" s="9" t="inlineStr">
        <is>
          <t>ficha</t>
        </is>
      </c>
      <c r="D3" s="9" t="inlineStr">
        <is>
          <t>12 vias · Acquisition, TSAL Green (12 vias)</t>
        </is>
      </c>
      <c r="E3" s="9" t="n"/>
      <c r="F3" s="9" t="inlineStr">
        <is>
          <t>Notion · LART Central / Electronics / Inventory Management / BOM Management / Connectors Harness (2026-10-22)</t>
        </is>
      </c>
      <c r="G3" s="9" t="inlineStr">
        <is>
          <t>N</t>
        </is>
      </c>
      <c r="H3" s="10" t="n"/>
    </row>
    <row r="4">
      <c r="A4" s="13" t="inlineStr">
        <is>
          <t>794611-1</t>
        </is>
      </c>
      <c r="B4" s="9" t="inlineStr">
        <is>
          <t>TE Micro MATE-N-LOK</t>
        </is>
      </c>
      <c r="C4" s="9" t="inlineStr">
        <is>
          <t>crimp</t>
        </is>
      </c>
      <c r="D4" s="9" t="inlineStr">
        <is>
          <t>contacto fêmea Micro MATE-N-LOK (AWG por confirmar)</t>
        </is>
      </c>
      <c r="E4" s="9" t="n"/>
      <c r="F4" s="9" t="inlineStr">
        <is>
          <t>Notion · LART Central / Electronics / Inventory Management / BOM Management / Connectors Harness (2026-10-22)</t>
        </is>
      </c>
      <c r="G4" s="9" t="inlineStr">
        <is>
          <t>N</t>
        </is>
      </c>
      <c r="H4" s="10" t="n"/>
    </row>
    <row r="5">
      <c r="A5" s="13" t="inlineStr">
        <is>
          <t>794617-8</t>
        </is>
      </c>
      <c r="B5" s="9" t="inlineStr">
        <is>
          <t>TE Micro MATE-N-LOK</t>
        </is>
      </c>
      <c r="C5" s="9" t="inlineStr">
        <is>
          <t>ficha</t>
        </is>
      </c>
      <c r="D5" s="9" t="inlineStr">
        <is>
          <t>8 vias · Acquisition (8 vias)</t>
        </is>
      </c>
      <c r="E5" s="9" t="n"/>
      <c r="F5" s="9" t="inlineStr">
        <is>
          <t>Notion · LART Central / Electronics / Inventory Management / BOM Management / Connectors Harness (2026-10-22)</t>
        </is>
      </c>
      <c r="G5" s="9" t="inlineStr">
        <is>
          <t>N</t>
        </is>
      </c>
      <c r="H5" s="10" t="n"/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PEDALBOX J1:H</t>
        </is>
      </c>
      <c r="D2" s="2" t="inlineStr">
        <is>
          <t>O pino PEDALBOX J1:H tem 2 ligações diferentes: ACQUISITION 1 J2:1 (folha Acquisition Board 1); APPS1:Signal Pin (folha PedalBox J1).</t>
        </is>
      </c>
      <c r="E2" s="2" t="inlineStr">
        <is>
          <t>ACQUISITION 1 J2:1 (folha Acquisition Board 1)</t>
        </is>
      </c>
      <c r="F2" s="2" t="inlineStr">
        <is>
          <t>APPS1:Signal Pin (folha PedalBox J1)</t>
        </is>
      </c>
      <c r="G2" s="2" t="inlineStr">
        <is>
          <t>Ficaram todas — decidir qual é a certa e apagar as outras.</t>
        </is>
      </c>
      <c r="H2" s="10" t="n"/>
      <c r="I2" s="9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PEDALBOX J1:K</t>
        </is>
      </c>
      <c r="D3" s="2" t="inlineStr">
        <is>
          <t>O pino PEDALBOX J1:K tem 2 ligações diferentes: ACQUISITION 1 J2:3 (folha Acquisition Board 1); APPS2:Signal Pin (folha PedalBox J1).</t>
        </is>
      </c>
      <c r="E3" s="2" t="inlineStr">
        <is>
          <t>ACQUISITION 1 J2:3 (folha Acquisition Board 1)</t>
        </is>
      </c>
      <c r="F3" s="2" t="inlineStr">
        <is>
          <t>APPS2:Signal Pin (folha PedalBox J1)</t>
        </is>
      </c>
      <c r="G3" s="2" t="inlineStr">
        <is>
          <t>Ficaram todas — decidir qual é a certa e apagar as outras.</t>
        </is>
      </c>
      <c r="H3" s="10" t="n"/>
      <c r="I3" s="9" t="inlineStr">
        <is>
          <t>aberto</t>
        </is>
      </c>
      <c r="J3" s="11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PEDALBOX J1:N</t>
        </is>
      </c>
      <c r="D4" s="2" t="inlineStr">
        <is>
          <t>O pino PEDALBOX J1:N tem 2 ligações diferentes: ACQUISITION 1 J2:5 (folha Acquisition Board 1); FRONT BRAKE PRESSURE:Signal Pin (folha PedalBox J1).</t>
        </is>
      </c>
      <c r="E4" s="2" t="inlineStr">
        <is>
          <t>ACQUISITION 1 J2:5 (folha Acquisition Board 1)</t>
        </is>
      </c>
      <c r="F4" s="2" t="inlineStr">
        <is>
          <t>FRONT BRAKE PRESSURE:Signal Pin (folha PedalBox J1)</t>
        </is>
      </c>
      <c r="G4" s="2" t="inlineStr">
        <is>
          <t>Ficaram todas — decidir qual é a certa e apagar as outras.</t>
        </is>
      </c>
      <c r="H4" s="10" t="n"/>
      <c r="I4" s="9" t="inlineStr">
        <is>
          <t>aberto</t>
        </is>
      </c>
      <c r="J4" s="11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PEDALBOX J1:P</t>
        </is>
      </c>
      <c r="D5" s="2" t="inlineStr">
        <is>
          <t>O pino PEDALBOX J1:P tem 2 ligações diferentes: ACQUISITION 1 J2:6 (folha Acquisition Board 1); RES:RES (folha PedalBox J1).</t>
        </is>
      </c>
      <c r="E5" s="2" t="inlineStr">
        <is>
          <t>ACQUISITION 1 J2:6 (folha Acquisition Board 1)</t>
        </is>
      </c>
      <c r="F5" s="2" t="inlineStr">
        <is>
          <t>RES:RES (folha PedalBox J1)</t>
        </is>
      </c>
      <c r="G5" s="2" t="inlineStr">
        <is>
          <t>Ficaram todas — decidir qual é a certa e apagar as outras.</t>
        </is>
      </c>
      <c r="H5" s="10" t="n"/>
      <c r="I5" s="9" t="inlineStr">
        <is>
          <t>aberto</t>
        </is>
      </c>
      <c r="J5" s="11">
        <f>COUNTIF(Wires!$U$2:$U$1000,"*"&amp;A5&amp;"*")</f>
        <v/>
      </c>
    </row>
    <row r="6">
      <c r="A6" s="2" t="inlineStr">
        <is>
          <t>I-05</t>
        </is>
      </c>
      <c r="B6" s="2" t="inlineStr">
        <is>
          <t>crítico</t>
        </is>
      </c>
      <c r="C6" s="2" t="inlineStr">
        <is>
          <t>PEDALBOX J1:Q</t>
        </is>
      </c>
      <c r="D6" s="2" t="inlineStr">
        <is>
          <t>O pino PEDALBOX J1:Q tem 2 ligações diferentes: ACQUISITION 1 J2:8 (folha Acquisition Board 1); BOTS:BOTS (folha PedalBox J1).</t>
        </is>
      </c>
      <c r="E6" s="2" t="inlineStr">
        <is>
          <t>ACQUISITION 1 J2:8 (folha Acquisition Board 1)</t>
        </is>
      </c>
      <c r="F6" s="2" t="inlineStr">
        <is>
          <t>BOTS:BOTS (folha PedalBox J1)</t>
        </is>
      </c>
      <c r="G6" s="2" t="inlineStr">
        <is>
          <t>Ficaram todas — decidir qual é a certa e apagar as outras.</t>
        </is>
      </c>
      <c r="H6" s="10" t="n"/>
      <c r="I6" s="9" t="inlineStr">
        <is>
          <t>aberto</t>
        </is>
      </c>
      <c r="J6" s="11">
        <f>COUNTIF(Wires!$U$2:$U$1000,"*"&amp;A6&amp;"*")</f>
        <v/>
      </c>
    </row>
    <row r="7">
      <c r="A7" s="2" t="inlineStr">
        <is>
          <t>I-06</t>
        </is>
      </c>
      <c r="B7" s="2" t="inlineStr">
        <is>
          <t>crítico</t>
        </is>
      </c>
      <c r="C7" s="2" t="inlineStr">
        <is>
          <t>PEDALBOX J1:G</t>
        </is>
      </c>
      <c r="D7" s="2" t="inlineStr">
        <is>
          <t>O pino PEDALBOX J1:G tem 2 ligações diferentes: ACQUISITION 1 J3:1 (folha Acquisition Board 1); APPS1:Power Pin (folha PedalBox J1).</t>
        </is>
      </c>
      <c r="E7" s="2" t="inlineStr">
        <is>
          <t>ACQUISITION 1 J3:1 (folha Acquisition Board 1)</t>
        </is>
      </c>
      <c r="F7" s="2" t="inlineStr">
        <is>
          <t>APPS1:Power Pin (folha PedalBox J1)</t>
        </is>
      </c>
      <c r="G7" s="2" t="inlineStr">
        <is>
          <t>Ficaram todas — decidir qual é a certa e apagar as outras.</t>
        </is>
      </c>
      <c r="H7" s="10" t="n"/>
      <c r="I7" s="9" t="inlineStr">
        <is>
          <t>aberto</t>
        </is>
      </c>
      <c r="J7" s="11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PEDALBOX J1:J</t>
        </is>
      </c>
      <c r="D8" s="2" t="inlineStr">
        <is>
          <t>O pino PEDALBOX J1:J tem 2 ligações diferentes: ACQUISITION 1 J3:2 (folha Acquisition Board 1); APPS2:Power Pin (folha PedalBox J1).</t>
        </is>
      </c>
      <c r="E8" s="2" t="inlineStr">
        <is>
          <t>ACQUISITION 1 J3:2 (folha Acquisition Board 1)</t>
        </is>
      </c>
      <c r="F8" s="2" t="inlineStr">
        <is>
          <t>APPS2:Power Pin (folha PedalBox J1)</t>
        </is>
      </c>
      <c r="G8" s="2" t="inlineStr">
        <is>
          <t>Ficaram todas — decidir qual é a certa e apagar as outras.</t>
        </is>
      </c>
      <c r="H8" s="10" t="n"/>
      <c r="I8" s="9" t="inlineStr">
        <is>
          <t>aberto</t>
        </is>
      </c>
      <c r="J8" s="11">
        <f>COUNTIF(Wires!$U$2:$U$1000,"*"&amp;A8&amp;"*")</f>
        <v/>
      </c>
    </row>
    <row r="9">
      <c r="A9" s="2" t="inlineStr">
        <is>
          <t>I-08</t>
        </is>
      </c>
      <c r="B9" s="2" t="inlineStr">
        <is>
          <t>crítico</t>
        </is>
      </c>
      <c r="C9" s="2" t="inlineStr">
        <is>
          <t>PEDALBOX J1:M</t>
        </is>
      </c>
      <c r="D9" s="2" t="inlineStr">
        <is>
          <t>O pino PEDALBOX J1:M tem 2 ligações diferentes: ACQUISITION 1 J3:3 (folha Acquisition Board 1); FRONT BRAKE PRESSURE:Power Pin (folha PedalBox J1).</t>
        </is>
      </c>
      <c r="E9" s="2" t="inlineStr">
        <is>
          <t>ACQUISITION 1 J3:3 (folha Acquisition Board 1)</t>
        </is>
      </c>
      <c r="F9" s="2" t="inlineStr">
        <is>
          <t>FRONT BRAKE PRESSURE:Power Pin (folha PedalBox J1)</t>
        </is>
      </c>
      <c r="G9" s="2" t="inlineStr">
        <is>
          <t>Ficaram todas — decidir qual é a certa e apagar as outras.</t>
        </is>
      </c>
      <c r="H9" s="10" t="n"/>
      <c r="I9" s="9" t="inlineStr">
        <is>
          <t>aberto</t>
        </is>
      </c>
      <c r="J9" s="11">
        <f>COUNTIF(Wires!$U$2:$U$1000,"*"&amp;A9&amp;"*")</f>
        <v/>
      </c>
    </row>
    <row r="10">
      <c r="A10" s="2" t="inlineStr">
        <is>
          <t>I-09</t>
        </is>
      </c>
      <c r="B10" s="2" t="inlineStr">
        <is>
          <t>crítico</t>
        </is>
      </c>
      <c r="C10" s="2" t="inlineStr">
        <is>
          <t>PEDALBOX J1:I</t>
        </is>
      </c>
      <c r="D10" s="2" t="inlineStr">
        <is>
          <t>O pino PEDALBOX J1:I tem 2 ligações diferentes: ACQUISITION 1 J3:6 (folha Acquisition Board 1); APPS1:Ground Pin (folha PedalBox J1).</t>
        </is>
      </c>
      <c r="E10" s="2" t="inlineStr">
        <is>
          <t>ACQUISITION 1 J3:6 (folha Acquisition Board 1)</t>
        </is>
      </c>
      <c r="F10" s="2" t="inlineStr">
        <is>
          <t>APPS1:Ground Pin (folha PedalBox J1)</t>
        </is>
      </c>
      <c r="G10" s="2" t="inlineStr">
        <is>
          <t>Ficaram todas — decidir qual é a certa e apagar as outras.</t>
        </is>
      </c>
      <c r="H10" s="10" t="n"/>
      <c r="I10" s="9" t="inlineStr">
        <is>
          <t>aberto</t>
        </is>
      </c>
      <c r="J10" s="11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crítico</t>
        </is>
      </c>
      <c r="C11" s="2" t="inlineStr">
        <is>
          <t>PEDALBOX J1:L</t>
        </is>
      </c>
      <c r="D11" s="2" t="inlineStr">
        <is>
          <t>O pino PEDALBOX J1:L tem 2 ligações diferentes: ACQUISITION 1 J3:7 (folha Acquisition Board 1); APPS2:Ground Pin (folha PedalBox J1).</t>
        </is>
      </c>
      <c r="E11" s="2" t="inlineStr">
        <is>
          <t>ACQUISITION 1 J3:7 (folha Acquisition Board 1)</t>
        </is>
      </c>
      <c r="F11" s="2" t="inlineStr">
        <is>
          <t>APPS2:Ground Pin (folha PedalBox J1)</t>
        </is>
      </c>
      <c r="G11" s="2" t="inlineStr">
        <is>
          <t>Ficaram todas — decidir qual é a certa e apagar as outras.</t>
        </is>
      </c>
      <c r="H11" s="10" t="n"/>
      <c r="I11" s="9" t="inlineStr">
        <is>
          <t>aberto</t>
        </is>
      </c>
      <c r="J11" s="11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crítico</t>
        </is>
      </c>
      <c r="C12" s="2" t="inlineStr">
        <is>
          <t>PEDALBOX J1:O</t>
        </is>
      </c>
      <c r="D12" s="2" t="inlineStr">
        <is>
          <t>O pino PEDALBOX J1:O tem 2 ligações diferentes: ACQUISITION 1 J3:8 (folha Acquisition Board 1); FRONT BRAKE PRESSURE:Ground Pin (folha PedalBox J1).</t>
        </is>
      </c>
      <c r="E12" s="2" t="inlineStr">
        <is>
          <t>ACQUISITION 1 J3:8 (folha Acquisition Board 1)</t>
        </is>
      </c>
      <c r="F12" s="2" t="inlineStr">
        <is>
          <t>FRONT BRAKE PRESSURE:Ground Pin (folha PedalBox J1)</t>
        </is>
      </c>
      <c r="G12" s="2" t="inlineStr">
        <is>
          <t>Ficaram todas — decidir qual é a certa e apagar as outras.</t>
        </is>
      </c>
      <c r="H12" s="10" t="n"/>
      <c r="I12" s="9" t="inlineStr">
        <is>
          <t>aberto</t>
        </is>
      </c>
      <c r="J12" s="11">
        <f>COUNTIF(Wires!$U$2:$U$1000,"*"&amp;A12&amp;"*")</f>
        <v/>
      </c>
    </row>
    <row r="13">
      <c r="A13" s="2" t="inlineStr">
        <is>
          <t>I-12</t>
        </is>
      </c>
      <c r="B13" s="2" t="inlineStr">
        <is>
          <t>importante</t>
        </is>
      </c>
      <c r="C13" s="2" t="inlineStr">
        <is>
          <t>6 linha(s)</t>
        </is>
      </c>
      <c r="D13" s="2" t="inlineStr">
        <is>
          <t>Destino desconhecido: PEDALBOX J1:A → destino "Somewhere" (folha PedalBox J1); PEDALBOX J1:B → destino "Somewhere" (folha PedalBox J1); PEDALBOX J1:C → destino "?" (folha PedalBox J1); PEDALBOX J1:D → destino "?" (folha PedalBox J1); PEDALBOX J1:E → destino "?" (folha PedalBox J1); PEDALBOX J1:F → destino "?" (folha PedalBox J1)</t>
        </is>
      </c>
      <c r="E13" s="2" t="n"/>
      <c r="F13" s="2" t="n"/>
      <c r="G13" s="2" t="inlineStr">
        <is>
          <t>Linha sem fio</t>
        </is>
      </c>
      <c r="H13" s="10" t="n"/>
      <c r="I13" s="9" t="inlineStr">
        <is>
          <t>aberto</t>
        </is>
      </c>
      <c r="J13" s="11">
        <f>COUNTIF(Wires!$U$2:$U$1000,"*"&amp;A13&amp;"*")</f>
        <v/>
      </c>
    </row>
    <row r="14">
      <c r="A14" s="2" t="inlineStr">
        <is>
          <t>I-13</t>
        </is>
      </c>
      <c r="B14" s="2" t="inlineStr">
        <is>
          <t>info</t>
        </is>
      </c>
      <c r="C14" s="2" t="inlineStr">
        <is>
          <t>destinos</t>
        </is>
      </c>
      <c r="D14" s="2" t="inlineStr">
        <is>
          <t>5 conector(es) só aparecem como destino, sem folha própria: APPS1, APPS2, BOTS, FRONT BRAKE PRESSURE, RES.</t>
        </is>
      </c>
      <c r="E14" s="2" t="n"/>
      <c r="F14" s="2" t="n"/>
      <c r="G14" s="2" t="n"/>
      <c r="H14" s="10" t="n"/>
      <c r="I14" s="9" t="inlineStr">
        <is>
          <t>aberto</t>
        </is>
      </c>
      <c r="J14" s="11">
        <f>COUNTIF(Wires!$U$2:$U$1000,"*"&amp;A14&amp;"*")</f>
        <v/>
      </c>
    </row>
    <row r="15">
      <c r="A15" s="2" t="inlineStr">
        <is>
          <t>I-14</t>
        </is>
      </c>
      <c r="B15" s="2" t="inlineStr">
        <is>
          <t>info</t>
        </is>
      </c>
      <c r="C15" s="2" t="inlineStr">
        <is>
          <t>reciprocidade</t>
        </is>
      </c>
      <c r="D15" s="2" t="inlineStr">
        <is>
          <t>17 fio(s) só estão escritos numa das pontas, embora as duas tenham folha: ACQUISITION 1 J1:1→PEDALBOX J1:A, ACQUISITION 1 J1:2→PEDALBOX J1:B, ACQUISITION 1 J1:3→PEDALBOX J1:C, ACQUISITION 1 J1:4→PEDALBOX J1:D, ACQUISITION 1 J1:5→PEDALBOX J1:E, ACQUISITION 1 J1:6→PEDALBOX J1:F, ACQUISITION 1 J2:1→PEDALBOX J1:H, ACQUISITION 1 J2:3→PEDALBOX J1:K, ACQUISITION 1 J2:5→PEDALBOX J1:N, ACQUISITION 1 J2:6→PEDALBOX J1:P, ACQUISITION 1 J2:8→PEDALBOX J1:Q, ACQUISITION 1 J3:1→PEDALBOX J1:G, ACQUISITION 1 J3:2→PEDALBOX J1:J, ACQUISITION 1 J3:3→PEDALBOX J1:M, ACQUISITION 1 J3:6→PEDALBOX J1:I, ACQUISITION 1 J3:7→PEDALBOX J1:L, ACQUISITION 1 J3:8→PEDALBOX J1:O</t>
        </is>
      </c>
      <c r="E15" s="2" t="n"/>
      <c r="F15" s="2" t="n"/>
      <c r="G15" s="2" t="n"/>
      <c r="H15" s="10" t="n"/>
      <c r="I15" s="9" t="inlineStr">
        <is>
          <t>aberto</t>
        </is>
      </c>
      <c r="J15" s="11">
        <f>COUNTIF(Wires!$U$2:$U$1000,"*"&amp;A15&amp;"*")</f>
        <v/>
      </c>
    </row>
  </sheetData>
  <autoFilter ref="A1:J15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  <row r="2">
      <c r="A2" s="9" t="inlineStr">
        <is>
          <t>Notas</t>
        </is>
      </c>
      <c r="B2" s="9" t="inlineStr">
        <is>
          <t>Usar o T do CAN se preciso, mas é preciso conector circular maior</t>
        </is>
      </c>
    </row>
    <row r="3">
      <c r="A3" s="9" t="inlineStr">
        <is>
          <t>Notas</t>
        </is>
      </c>
      <c r="B3" s="9" t="inlineStr">
        <is>
          <t>É preciso caixa para proteger PCB pois é muito critica a aquisition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2026-10-22T22:33:29Z</dcterms:created>
  <dcterms:modified xsi:type="dcterms:W3CDTF">2026-10-22T22:33:29Z</dcterms:modified>
</cp:coreProperties>
</file>