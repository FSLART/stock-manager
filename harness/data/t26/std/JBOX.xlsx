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'Wires'!$A$1:$Z$7</definedName>
    <definedName name="_xlnm._FilterDatabase" localSheetId="2" hidden="1">'Connectors'!$A$1:$T$10</definedName>
    <definedName name="_xlnm._FilterDatabase" localSheetId="3" hidden="1">'Pins'!$A$1:$O$68</definedName>
    <definedName name="_xlnm._FilterDatabase" localSheetId="4" hidden="1">'Parts'!$A$1:$H$3</definedName>
    <definedName name="_xlnm._FilterDatabase" localSheetId="5" hidden="1">'Segments'!$A$1:$E$1</definedName>
    <definedName name="_xlnm._FilterDatabase" localSheetId="6" hidden="1">'Nodes'!$A$1:$E$1</definedName>
    <definedName name="_xlnm._FilterDatabase" localSheetId="7" hidden="1">'Issues'!$A$1:$J$5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i val="1"/>
      <color rgb="00C55A11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4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Junction Box: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JunctionBox_Harnes_Pinouts.xlsx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W-JBOX-001</t>
        </is>
      </c>
      <c r="B2" s="10" t="inlineStr">
        <is>
          <t>JBOX</t>
        </is>
      </c>
      <c r="C2" s="10" t="inlineStr">
        <is>
          <t>+HV</t>
        </is>
      </c>
      <c r="D2" s="10" t="inlineStr">
        <is>
          <t>TSAL RED J1</t>
        </is>
      </c>
      <c r="E2" s="10" t="inlineStr">
        <is>
          <t>1</t>
        </is>
      </c>
      <c r="F2" s="10" t="inlineStr">
        <is>
          <t>FUSE 1</t>
        </is>
      </c>
      <c r="G2" s="10" t="inlineStr">
        <is>
          <t>?1</t>
        </is>
      </c>
      <c r="H2" s="10" t="inlineStr">
        <is>
          <t>OG</t>
        </is>
      </c>
      <c r="I2" s="11" t="n"/>
      <c r="J2" s="12">
        <f>IF(I2="","",IFERROR(INDEX(Lists!$F$3:$F$17,MATCH(I2,Lists!$E$3:$E$17,0)),"?"))</f>
        <v/>
      </c>
      <c r="K2" s="10" t="inlineStr">
        <is>
          <t>Y</t>
        </is>
      </c>
      <c r="L2" s="10" t="inlineStr">
        <is>
          <t>600V</t>
        </is>
      </c>
      <c r="M2" s="11" t="n"/>
      <c r="N2" s="12">
        <f>IF(D2="","",IFERROR(INDEX(Connectors!$J$2:$J$1000,MATCH(D2,Connectors!$A$2:$A$1000,0))&amp;"",""))</f>
        <v/>
      </c>
      <c r="O2" s="12">
        <f>IF(F2="","",IFERROR(INDEX(Connectors!$J$2:$J$1000,MATCH(F2,Connectors!$A$2:$A$1000,0))&amp;"",""))</f>
        <v/>
      </c>
      <c r="P2" s="10" t="n"/>
      <c r="Q2" s="10" t="n"/>
      <c r="R2" s="11" t="n"/>
      <c r="S2" s="10" t="inlineStr">
        <is>
          <t>Positive HV Measurement</t>
        </is>
      </c>
      <c r="T2" s="10" t="inlineStr">
        <is>
          <t>1 ponta (folha TSAL Red)</t>
        </is>
      </c>
      <c r="U2" s="9" t="inlineStr">
        <is>
          <t>I-01</t>
        </is>
      </c>
      <c r="V2" s="12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2">
        <f>IF(D2="","",D2&amp;":"&amp;E2&amp;IF(EXACT(E2,UPPER(E2)),"","|lc"))</f>
        <v/>
      </c>
      <c r="X2" s="12">
        <f>IF(F2="","",F2&amp;":"&amp;G2&amp;IF(EXACT(G2,UPPER(G2)),"","|lc"))</f>
        <v/>
      </c>
      <c r="Y2" s="10" t="n"/>
      <c r="Z2" s="10" t="n"/>
    </row>
    <row r="3">
      <c r="A3" s="10" t="inlineStr">
        <is>
          <t>W-JBOX-002</t>
        </is>
      </c>
      <c r="B3" s="10" t="inlineStr">
        <is>
          <t>JBOX</t>
        </is>
      </c>
      <c r="C3" s="10" t="inlineStr">
        <is>
          <t>-HV</t>
        </is>
      </c>
      <c r="D3" s="10" t="inlineStr">
        <is>
          <t>TSAL RED J1</t>
        </is>
      </c>
      <c r="E3" s="10" t="inlineStr">
        <is>
          <t>2</t>
        </is>
      </c>
      <c r="F3" s="10" t="inlineStr">
        <is>
          <t>AIR-</t>
        </is>
      </c>
      <c r="G3" s="10" t="inlineStr">
        <is>
          <t>A2</t>
        </is>
      </c>
      <c r="H3" s="10" t="inlineStr">
        <is>
          <t>OG</t>
        </is>
      </c>
      <c r="I3" s="11" t="n"/>
      <c r="J3" s="12">
        <f>IF(I3="","",IFERROR(INDEX(Lists!$F$3:$F$17,MATCH(I3,Lists!$E$3:$E$17,0)),"?"))</f>
        <v/>
      </c>
      <c r="K3" s="10" t="inlineStr">
        <is>
          <t>Y</t>
        </is>
      </c>
      <c r="L3" s="10" t="inlineStr">
        <is>
          <t>0V</t>
        </is>
      </c>
      <c r="M3" s="11" t="n"/>
      <c r="N3" s="12">
        <f>IF(D3="","",IFERROR(INDEX(Connectors!$J$2:$J$1000,MATCH(D3,Connectors!$A$2:$A$1000,0))&amp;"",""))</f>
        <v/>
      </c>
      <c r="O3" s="12">
        <f>IF(F3="","",IFERROR(INDEX(Connectors!$J$2:$J$1000,MATCH(F3,Connectors!$A$2:$A$1000,0))&amp;"",""))</f>
        <v/>
      </c>
      <c r="P3" s="10" t="n"/>
      <c r="Q3" s="10" t="n"/>
      <c r="R3" s="11" t="n"/>
      <c r="S3" s="10" t="inlineStr">
        <is>
          <t>Negative HV Measurement</t>
        </is>
      </c>
      <c r="T3" s="10" t="inlineStr">
        <is>
          <t>1 ponta (folha TSAL Red)</t>
        </is>
      </c>
      <c r="U3" s="10" t="n"/>
      <c r="V3" s="12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2">
        <f>IF(D3="","",D3&amp;":"&amp;E3&amp;IF(EXACT(E3,UPPER(E3)),"","|lc"))</f>
        <v/>
      </c>
      <c r="X3" s="12">
        <f>IF(F3="","",F3&amp;":"&amp;G3&amp;IF(EXACT(G3,UPPER(G3)),"","|lc"))</f>
        <v/>
      </c>
      <c r="Y3" s="10" t="n"/>
      <c r="Z3" s="10" t="n"/>
    </row>
    <row r="4">
      <c r="A4" s="9" t="inlineStr">
        <is>
          <t>W-JBOX-003</t>
        </is>
      </c>
      <c r="B4" s="10" t="inlineStr">
        <is>
          <t>JBOX</t>
        </is>
      </c>
      <c r="C4" s="10" t="inlineStr">
        <is>
          <t>+24V</t>
        </is>
      </c>
      <c r="D4" s="10" t="inlineStr">
        <is>
          <t>TSAL RED D2</t>
        </is>
      </c>
      <c r="E4" s="10" t="inlineStr">
        <is>
          <t>1</t>
        </is>
      </c>
      <c r="F4" s="10" t="inlineStr">
        <is>
          <t>JBOX J1</t>
        </is>
      </c>
      <c r="G4" s="10" t="inlineStr">
        <is>
          <t>?1</t>
        </is>
      </c>
      <c r="H4" s="10" t="inlineStr">
        <is>
          <t>RD</t>
        </is>
      </c>
      <c r="I4" s="11" t="n"/>
      <c r="J4" s="12">
        <f>IF(I4="","",IFERROR(INDEX(Lists!$F$3:$F$17,MATCH(I4,Lists!$E$3:$E$17,0)),"?"))</f>
        <v/>
      </c>
      <c r="K4" s="10" t="inlineStr">
        <is>
          <t>N</t>
        </is>
      </c>
      <c r="L4" s="10" t="inlineStr">
        <is>
          <t>24V</t>
        </is>
      </c>
      <c r="M4" s="11" t="n"/>
      <c r="N4" s="12">
        <f>IF(D4="","",IFERROR(INDEX(Connectors!$J$2:$J$1000,MATCH(D4,Connectors!$A$2:$A$1000,0))&amp;"",""))</f>
        <v/>
      </c>
      <c r="O4" s="12">
        <f>IF(F4="","",IFERROR(INDEX(Connectors!$J$2:$J$1000,MATCH(F4,Connectors!$A$2:$A$1000,0))&amp;"",""))</f>
        <v/>
      </c>
      <c r="P4" s="10" t="n"/>
      <c r="Q4" s="10" t="n"/>
      <c r="R4" s="11" t="n"/>
      <c r="S4" s="10" t="inlineStr">
        <is>
          <t>Board Power Supply</t>
        </is>
      </c>
      <c r="T4" s="10" t="inlineStr">
        <is>
          <t>1 ponta (folha TSAL Red)</t>
        </is>
      </c>
      <c r="U4" s="9" t="inlineStr">
        <is>
          <t>I-01</t>
        </is>
      </c>
      <c r="V4" s="12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2">
        <f>IF(D4="","",D4&amp;":"&amp;E4&amp;IF(EXACT(E4,UPPER(E4)),"","|lc"))</f>
        <v/>
      </c>
      <c r="X4" s="12">
        <f>IF(F4="","",F4&amp;":"&amp;G4&amp;IF(EXACT(G4,UPPER(G4)),"","|lc"))</f>
        <v/>
      </c>
      <c r="Y4" s="10" t="n"/>
      <c r="Z4" s="10" t="n"/>
    </row>
    <row r="5">
      <c r="A5" s="9" t="inlineStr">
        <is>
          <t>W-JBOX-004</t>
        </is>
      </c>
      <c r="B5" s="10" t="inlineStr">
        <is>
          <t>JBOX</t>
        </is>
      </c>
      <c r="C5" s="10" t="inlineStr">
        <is>
          <t>LED_S</t>
        </is>
      </c>
      <c r="D5" s="10" t="inlineStr">
        <is>
          <t>TSAL RED D2</t>
        </is>
      </c>
      <c r="E5" s="10" t="inlineStr">
        <is>
          <t>2</t>
        </is>
      </c>
      <c r="F5" s="10" t="inlineStr">
        <is>
          <t>JBOX J1</t>
        </is>
      </c>
      <c r="G5" s="10" t="inlineStr">
        <is>
          <t>?2</t>
        </is>
      </c>
      <c r="H5" s="10" t="inlineStr">
        <is>
          <t>WH</t>
        </is>
      </c>
      <c r="I5" s="11" t="n"/>
      <c r="J5" s="12">
        <f>IF(I5="","",IFERROR(INDEX(Lists!$F$3:$F$17,MATCH(I5,Lists!$E$3:$E$17,0)),"?"))</f>
        <v/>
      </c>
      <c r="K5" s="10" t="inlineStr">
        <is>
          <t>N</t>
        </is>
      </c>
      <c r="L5" s="10" t="inlineStr">
        <is>
          <t>12V</t>
        </is>
      </c>
      <c r="M5" s="11" t="n"/>
      <c r="N5" s="12">
        <f>IF(D5="","",IFERROR(INDEX(Connectors!$J$2:$J$1000,MATCH(D5,Connectors!$A$2:$A$1000,0))&amp;"",""))</f>
        <v/>
      </c>
      <c r="O5" s="12">
        <f>IF(F5="","",IFERROR(INDEX(Connectors!$J$2:$J$1000,MATCH(F5,Connectors!$A$2:$A$1000,0))&amp;"",""))</f>
        <v/>
      </c>
      <c r="P5" s="10" t="n"/>
      <c r="Q5" s="10" t="n"/>
      <c r="R5" s="11" t="n"/>
      <c r="S5" s="10" t="inlineStr">
        <is>
          <t>Signal for Tsal Red Led</t>
        </is>
      </c>
      <c r="T5" s="10" t="inlineStr">
        <is>
          <t>1 ponta (folha TSAL Red)</t>
        </is>
      </c>
      <c r="U5" s="9" t="inlineStr">
        <is>
          <t>I-01</t>
        </is>
      </c>
      <c r="V5" s="12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2">
        <f>IF(D5="","",D5&amp;":"&amp;E5&amp;IF(EXACT(E5,UPPER(E5)),"","|lc"))</f>
        <v/>
      </c>
      <c r="X5" s="12">
        <f>IF(F5="","",F5&amp;":"&amp;G5&amp;IF(EXACT(G5,UPPER(G5)),"","|lc"))</f>
        <v/>
      </c>
      <c r="Y5" s="10" t="n"/>
      <c r="Z5" s="10" t="n"/>
    </row>
    <row r="6">
      <c r="A6" s="10" t="inlineStr">
        <is>
          <t>W-JBOX-005</t>
        </is>
      </c>
      <c r="B6" s="10" t="inlineStr">
        <is>
          <t>JBOX</t>
        </is>
      </c>
      <c r="C6" s="10" t="inlineStr">
        <is>
          <t>GND</t>
        </is>
      </c>
      <c r="D6" s="10" t="inlineStr">
        <is>
          <t>TSAL RED D2</t>
        </is>
      </c>
      <c r="E6" s="10" t="inlineStr">
        <is>
          <t>3</t>
        </is>
      </c>
      <c r="F6" s="10" t="inlineStr">
        <is>
          <t>GND BOARD</t>
        </is>
      </c>
      <c r="G6" s="10" t="inlineStr">
        <is>
          <t>GND</t>
        </is>
      </c>
      <c r="H6" s="10" t="inlineStr">
        <is>
          <t>BK</t>
        </is>
      </c>
      <c r="I6" s="11" t="n"/>
      <c r="J6" s="12">
        <f>IF(I6="","",IFERROR(INDEX(Lists!$F$3:$F$17,MATCH(I6,Lists!$E$3:$E$17,0)),"?"))</f>
        <v/>
      </c>
      <c r="K6" s="10" t="inlineStr">
        <is>
          <t>N</t>
        </is>
      </c>
      <c r="L6" s="10" t="inlineStr">
        <is>
          <t>0V</t>
        </is>
      </c>
      <c r="M6" s="11" t="n"/>
      <c r="N6" s="12">
        <f>IF(D6="","",IFERROR(INDEX(Connectors!$J$2:$J$1000,MATCH(D6,Connectors!$A$2:$A$1000,0))&amp;"",""))</f>
        <v/>
      </c>
      <c r="O6" s="12">
        <f>IF(F6="","",IFERROR(INDEX(Connectors!$J$2:$J$1000,MATCH(F6,Connectors!$A$2:$A$1000,0))&amp;"",""))</f>
        <v/>
      </c>
      <c r="P6" s="10" t="n"/>
      <c r="Q6" s="10" t="n"/>
      <c r="R6" s="11" t="n"/>
      <c r="S6" s="10" t="inlineStr">
        <is>
          <t>Power Supply Ground (Board)</t>
        </is>
      </c>
      <c r="T6" s="10" t="inlineStr">
        <is>
          <t>1 ponta (folha TSAL Red)</t>
        </is>
      </c>
      <c r="U6" s="10" t="n"/>
      <c r="V6" s="12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2">
        <f>IF(D6="","",D6&amp;":"&amp;E6&amp;IF(EXACT(E6,UPPER(E6)),"","|lc"))</f>
        <v/>
      </c>
      <c r="X6" s="12">
        <f>IF(F6="","",F6&amp;":"&amp;G6&amp;IF(EXACT(G6,UPPER(G6)),"","|lc"))</f>
        <v/>
      </c>
      <c r="Y6" s="10" t="n"/>
      <c r="Z6" s="10" t="n"/>
    </row>
    <row r="7">
      <c r="A7" s="10" t="inlineStr">
        <is>
          <t>W-JBOX-006</t>
        </is>
      </c>
      <c r="B7" s="10" t="inlineStr">
        <is>
          <t>JBOX</t>
        </is>
      </c>
      <c r="C7" s="10" t="inlineStr">
        <is>
          <t>GND_SHIELDS</t>
        </is>
      </c>
      <c r="D7" s="10" t="inlineStr">
        <is>
          <t>JBOX J1</t>
        </is>
      </c>
      <c r="E7" s="10" t="inlineStr">
        <is>
          <t>f</t>
        </is>
      </c>
      <c r="F7" s="10" t="inlineStr">
        <is>
          <t>GROUND POINT</t>
        </is>
      </c>
      <c r="G7" s="10" t="inlineStr">
        <is>
          <t>GND</t>
        </is>
      </c>
      <c r="H7" s="10" t="inlineStr">
        <is>
          <t>BK</t>
        </is>
      </c>
      <c r="I7" s="11" t="n"/>
      <c r="J7" s="12">
        <f>IF(I7="","",IFERROR(INDEX(Lists!$F$3:$F$17,MATCH(I7,Lists!$E$3:$E$17,0)),"?"))</f>
        <v/>
      </c>
      <c r="K7" s="10" t="inlineStr">
        <is>
          <t>N</t>
        </is>
      </c>
      <c r="L7" s="10" t="n"/>
      <c r="M7" s="11" t="n"/>
      <c r="N7" s="12">
        <f>IF(D7="","",IFERROR(INDEX(Connectors!$J$2:$J$1000,MATCH(D7,Connectors!$A$2:$A$1000,0))&amp;"",""))</f>
        <v/>
      </c>
      <c r="O7" s="12">
        <f>IF(F7="","",IFERROR(INDEX(Connectors!$J$2:$J$1000,MATCH(F7,Connectors!$A$2:$A$1000,0))&amp;"",""))</f>
        <v/>
      </c>
      <c r="P7" s="10" t="n"/>
      <c r="Q7" s="10" t="n"/>
      <c r="R7" s="11" t="n"/>
      <c r="S7" s="10" t="n"/>
      <c r="T7" s="10" t="inlineStr">
        <is>
          <t>1 ponta (folha JBox J1)</t>
        </is>
      </c>
      <c r="U7" s="10" t="n"/>
      <c r="V7" s="12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2">
        <f>IF(D7="","",D7&amp;":"&amp;E7&amp;IF(EXACT(E7,UPPER(E7)),"","|lc"))</f>
        <v/>
      </c>
      <c r="X7" s="12">
        <f>IF(F7="","",F7&amp;":"&amp;G7&amp;IF(EXACT(G7,UPPER(G7)),"","|lc"))</f>
        <v/>
      </c>
      <c r="Y7" s="10" t="inlineStr">
        <is>
          <t>GND SHIELD</t>
        </is>
      </c>
      <c r="Z7" s="10" t="n"/>
    </row>
  </sheetData>
  <autoFilter ref="A1:Z7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10" t="inlineStr">
        <is>
          <t>TSAL RED J1</t>
        </is>
      </c>
      <c r="B2" s="10" t="inlineStr">
        <is>
          <t>TSAL</t>
        </is>
      </c>
      <c r="C2" s="10" t="inlineStr">
        <is>
          <t>JBOX</t>
        </is>
      </c>
      <c r="D2" s="10" t="inlineStr">
        <is>
          <t>CONNECTOR</t>
        </is>
      </c>
      <c r="E2" s="12">
        <f>COUNTIF(Pins!$A$2:$A$1000,A2)</f>
        <v/>
      </c>
      <c r="F2" s="11" t="n"/>
      <c r="G2" s="11" t="n"/>
      <c r="H2" s="10" t="n"/>
      <c r="I2" s="10" t="n"/>
      <c r="J2" s="10" t="n"/>
      <c r="K2" s="10" t="n"/>
      <c r="L2" s="10" t="n"/>
      <c r="M2" s="11" t="n"/>
      <c r="N2" s="11" t="n"/>
      <c r="O2" s="11" t="n"/>
      <c r="P2" s="12">
        <f>IF(COUNTIF(Segments!$B$2:$C$1000,A2)&gt;0,"Y","N")</f>
        <v/>
      </c>
      <c r="Q2" s="12">
        <f>COUNTIF(Wires!$D$2:$D$1000,A2)+COUNTIF(Wires!$F$2:$F$1000,A2)</f>
        <v/>
      </c>
      <c r="R2" s="12">
        <f>IF(A2="","",IF(D2="SPLICE","",IF(P2="N","fora da topologia; ","")&amp;IF(G2="","sem P/N; ","")&amp;IF(AND(G2&lt;&gt;"",COUNTIF(Parts!$A$2:$A$1000,G2)=0),"P/N não está em Parts; ","")&amp;IF(M2="","sem xyz; ","")))</f>
        <v/>
      </c>
      <c r="S2" s="10" t="n"/>
      <c r="T2" s="11" t="n"/>
    </row>
    <row r="3">
      <c r="A3" s="10" t="inlineStr">
        <is>
          <t>TSAL RED D2</t>
        </is>
      </c>
      <c r="B3" s="10" t="inlineStr">
        <is>
          <t>TSAL</t>
        </is>
      </c>
      <c r="C3" s="10" t="inlineStr">
        <is>
          <t>JBOX</t>
        </is>
      </c>
      <c r="D3" s="10" t="inlineStr">
        <is>
          <t>CONNECTOR</t>
        </is>
      </c>
      <c r="E3" s="12">
        <f>COUNTIF(Pins!$A$2:$A$1000,A3)</f>
        <v/>
      </c>
      <c r="F3" s="11" t="n"/>
      <c r="G3" s="11" t="n"/>
      <c r="H3" s="10" t="n"/>
      <c r="I3" s="10" t="n"/>
      <c r="J3" s="10" t="n"/>
      <c r="K3" s="10" t="n"/>
      <c r="L3" s="10" t="n"/>
      <c r="M3" s="11" t="n"/>
      <c r="N3" s="11" t="n"/>
      <c r="O3" s="11" t="n"/>
      <c r="P3" s="12">
        <f>IF(COUNTIF(Segments!$B$2:$C$1000,A3)&gt;0,"Y","N")</f>
        <v/>
      </c>
      <c r="Q3" s="12">
        <f>COUNTIF(Wires!$D$2:$D$1000,A3)+COUNTIF(Wires!$F$2:$F$1000,A3)</f>
        <v/>
      </c>
      <c r="R3" s="12">
        <f>IF(A3="","",IF(D3="SPLICE","",IF(P3="N","fora da topologia; ","")&amp;IF(G3="","sem P/N; ","")&amp;IF(AND(G3&lt;&gt;"",COUNTIF(Parts!$A$2:$A$1000,G3)=0),"P/N não está em Parts; ","")&amp;IF(M3="","sem xyz; ","")))</f>
        <v/>
      </c>
      <c r="S3" s="10" t="n"/>
      <c r="T3" s="11" t="n"/>
    </row>
    <row r="4">
      <c r="A4" s="10" t="inlineStr">
        <is>
          <t>INVERTER L1</t>
        </is>
      </c>
      <c r="B4" s="10" t="inlineStr">
        <is>
          <t>INVERTER</t>
        </is>
      </c>
      <c r="C4" s="10" t="inlineStr">
        <is>
          <t>JBOX</t>
        </is>
      </c>
      <c r="D4" s="10" t="inlineStr">
        <is>
          <t>CONNECTOR</t>
        </is>
      </c>
      <c r="E4" s="12">
        <f>COUNTIF(Pins!$A$2:$A$1000,A4)</f>
        <v/>
      </c>
      <c r="F4" s="11" t="n"/>
      <c r="G4" s="11" t="n"/>
      <c r="H4" s="10" t="n"/>
      <c r="I4" s="10" t="n"/>
      <c r="J4" s="10" t="n"/>
      <c r="K4" s="10" t="n"/>
      <c r="L4" s="10" t="n"/>
      <c r="M4" s="11" t="n"/>
      <c r="N4" s="11" t="n"/>
      <c r="O4" s="11" t="n"/>
      <c r="P4" s="12">
        <f>IF(COUNTIF(Segments!$B$2:$C$1000,A4)&gt;0,"Y","N")</f>
        <v/>
      </c>
      <c r="Q4" s="12">
        <f>COUNTIF(Wires!$D$2:$D$1000,A4)+COUNTIF(Wires!$F$2:$F$1000,A4)</f>
        <v/>
      </c>
      <c r="R4" s="12">
        <f>IF(A4="","",IF(D4="SPLICE","",IF(P4="N","fora da topologia; ","")&amp;IF(G4="","sem P/N; ","")&amp;IF(AND(G4&lt;&gt;"",COUNTIF(Parts!$A$2:$A$1000,G4)=0),"P/N não está em Parts; ","")&amp;IF(M4="","sem xyz; ","")))</f>
        <v/>
      </c>
      <c r="S4" s="10" t="n"/>
      <c r="T4" s="11" t="n"/>
    </row>
    <row r="5">
      <c r="A5" s="10" t="inlineStr">
        <is>
          <t>INVERTER L2</t>
        </is>
      </c>
      <c r="B5" s="10" t="inlineStr">
        <is>
          <t>INVERTER</t>
        </is>
      </c>
      <c r="C5" s="10" t="inlineStr">
        <is>
          <t>JBOX</t>
        </is>
      </c>
      <c r="D5" s="10" t="inlineStr">
        <is>
          <t>CONNECTOR</t>
        </is>
      </c>
      <c r="E5" s="12">
        <f>COUNTIF(Pins!$A$2:$A$1000,A5)</f>
        <v/>
      </c>
      <c r="F5" s="11" t="n"/>
      <c r="G5" s="11" t="n"/>
      <c r="H5" s="10" t="n"/>
      <c r="I5" s="10" t="n"/>
      <c r="J5" s="10" t="n"/>
      <c r="K5" s="10" t="n"/>
      <c r="L5" s="10" t="n"/>
      <c r="M5" s="11" t="n"/>
      <c r="N5" s="11" t="n"/>
      <c r="O5" s="11" t="n"/>
      <c r="P5" s="12">
        <f>IF(COUNTIF(Segments!$B$2:$C$1000,A5)&gt;0,"Y","N")</f>
        <v/>
      </c>
      <c r="Q5" s="12">
        <f>COUNTIF(Wires!$D$2:$D$1000,A5)+COUNTIF(Wires!$F$2:$F$1000,A5)</f>
        <v/>
      </c>
      <c r="R5" s="12">
        <f>IF(A5="","",IF(D5="SPLICE","",IF(P5="N","fora da topologia; ","")&amp;IF(G5="","sem P/N; ","")&amp;IF(AND(G5&lt;&gt;"",COUNTIF(Parts!$A$2:$A$1000,G5)=0),"P/N não está em Parts; ","")&amp;IF(M5="","sem xyz; ","")))</f>
        <v/>
      </c>
      <c r="S5" s="10" t="n"/>
      <c r="T5" s="11" t="n"/>
    </row>
    <row r="6">
      <c r="A6" s="10" t="inlineStr">
        <is>
          <t>JBOX J1</t>
        </is>
      </c>
      <c r="B6" s="10" t="inlineStr">
        <is>
          <t>JBOX</t>
        </is>
      </c>
      <c r="C6" s="10" t="inlineStr">
        <is>
          <t>JBOX</t>
        </is>
      </c>
      <c r="D6" s="10" t="inlineStr">
        <is>
          <t>CONNECTOR</t>
        </is>
      </c>
      <c r="E6" s="12">
        <f>COUNTIF(Pins!$A$2:$A$1000,A6)</f>
        <v/>
      </c>
      <c r="F6" s="11" t="n"/>
      <c r="G6" s="13" t="inlineStr">
        <is>
          <t>RTS718N32S03</t>
        </is>
      </c>
      <c r="H6" s="10" t="n"/>
      <c r="I6" s="13" t="inlineStr">
        <is>
          <t>Amphenol Sine RTS</t>
        </is>
      </c>
      <c r="J6" s="13" t="inlineStr">
        <is>
          <t>MS20W23F-10</t>
        </is>
      </c>
      <c r="K6" s="10" t="n"/>
      <c r="L6" s="10" t="n"/>
      <c r="M6" s="11" t="n"/>
      <c r="N6" s="11" t="n"/>
      <c r="O6" s="11" t="n"/>
      <c r="P6" s="12">
        <f>IF(COUNTIF(Segments!$B$2:$C$1000,A6)&gt;0,"Y","N")</f>
        <v/>
      </c>
      <c r="Q6" s="12">
        <f>COUNTIF(Wires!$D$2:$D$1000,A6)+COUNTIF(Wires!$F$2:$F$1000,A6)</f>
        <v/>
      </c>
      <c r="R6" s="12">
        <f>IF(A6="","",IF(D6="SPLICE","",IF(P6="N","fora da topologia; ","")&amp;IF(G6="","sem P/N; ","")&amp;IF(AND(G6&lt;&gt;"",COUNTIF(Parts!$A$2:$A$1000,G6)=0),"P/N não está em Parts; ","")&amp;IF(M6="","sem xyz; ","")))</f>
        <v/>
      </c>
      <c r="S6" s="10" t="inlineStr">
        <is>
          <t>Proposto a partir da lista da equipa (Notion · Connectors Harness): conector principal da caixa (lado da caixa, fêmea).</t>
        </is>
      </c>
      <c r="T6" s="13" t="inlineStr">
        <is>
          <t>F</t>
        </is>
      </c>
    </row>
    <row r="7">
      <c r="A7" s="10" t="inlineStr">
        <is>
          <t>FUSE 1</t>
        </is>
      </c>
      <c r="B7" s="10" t="inlineStr">
        <is>
          <t>FUSE</t>
        </is>
      </c>
      <c r="C7" s="10" t="inlineStr">
        <is>
          <t>JBOX</t>
        </is>
      </c>
      <c r="D7" s="10" t="inlineStr">
        <is>
          <t>CONNECTOR</t>
        </is>
      </c>
      <c r="E7" s="12">
        <f>COUNTIF(Pins!$A$2:$A$1000,A7)</f>
        <v/>
      </c>
      <c r="F7" s="11" t="n"/>
      <c r="G7" s="11" t="n"/>
      <c r="H7" s="10" t="n"/>
      <c r="I7" s="10" t="n"/>
      <c r="J7" s="10" t="n"/>
      <c r="K7" s="10" t="n"/>
      <c r="L7" s="10" t="n"/>
      <c r="M7" s="11" t="n"/>
      <c r="N7" s="11" t="n"/>
      <c r="O7" s="11" t="n"/>
      <c r="P7" s="12">
        <f>IF(COUNTIF(Segments!$B$2:$C$1000,A7)&gt;0,"Y","N")</f>
        <v/>
      </c>
      <c r="Q7" s="12">
        <f>COUNTIF(Wires!$D$2:$D$1000,A7)+COUNTIF(Wires!$F$2:$F$1000,A7)</f>
        <v/>
      </c>
      <c r="R7" s="12">
        <f>IF(A7="","",IF(D7="SPLICE","",IF(P7="N","fora da topologia; ","")&amp;IF(G7="","sem P/N; ","")&amp;IF(AND(G7&lt;&gt;"",COUNTIF(Parts!$A$2:$A$1000,G7)=0),"P/N não está em Parts; ","")&amp;IF(M7="","sem xyz; ","")))</f>
        <v/>
      </c>
      <c r="S7" s="10" t="inlineStr">
        <is>
          <t>Sem folha própria — criado a partir dos destinos.</t>
        </is>
      </c>
      <c r="T7" s="11" t="n"/>
    </row>
    <row r="8">
      <c r="A8" s="10" t="inlineStr">
        <is>
          <t>AIR-</t>
        </is>
      </c>
      <c r="B8" s="10" t="inlineStr">
        <is>
          <t>AIR-</t>
        </is>
      </c>
      <c r="C8" s="10" t="inlineStr">
        <is>
          <t>JBOX</t>
        </is>
      </c>
      <c r="D8" s="10" t="inlineStr">
        <is>
          <t>CONNECTOR</t>
        </is>
      </c>
      <c r="E8" s="12">
        <f>COUNTIF(Pins!$A$2:$A$1000,A8)</f>
        <v/>
      </c>
      <c r="F8" s="11" t="n"/>
      <c r="G8" s="11" t="n"/>
      <c r="H8" s="10" t="n"/>
      <c r="I8" s="10" t="n"/>
      <c r="J8" s="10" t="n"/>
      <c r="K8" s="10" t="n"/>
      <c r="L8" s="10" t="n"/>
      <c r="M8" s="11" t="n"/>
      <c r="N8" s="11" t="n"/>
      <c r="O8" s="11" t="n"/>
      <c r="P8" s="12">
        <f>IF(COUNTIF(Segments!$B$2:$C$1000,A8)&gt;0,"Y","N")</f>
        <v/>
      </c>
      <c r="Q8" s="12">
        <f>COUNTIF(Wires!$D$2:$D$1000,A8)+COUNTIF(Wires!$F$2:$F$1000,A8)</f>
        <v/>
      </c>
      <c r="R8" s="12">
        <f>IF(A8="","",IF(D8="SPLICE","",IF(P8="N","fora da topologia; ","")&amp;IF(G8="","sem P/N; ","")&amp;IF(AND(G8&lt;&gt;"",COUNTIF(Parts!$A$2:$A$1000,G8)=0),"P/N não está em Parts; ","")&amp;IF(M8="","sem xyz; ","")))</f>
        <v/>
      </c>
      <c r="S8" s="10" t="inlineStr">
        <is>
          <t>Sem folha própria — criado a partir dos destinos.</t>
        </is>
      </c>
      <c r="T8" s="11" t="n"/>
    </row>
    <row r="9">
      <c r="A9" s="10" t="inlineStr">
        <is>
          <t>GND BOARD</t>
        </is>
      </c>
      <c r="B9" s="10" t="inlineStr">
        <is>
          <t>GND</t>
        </is>
      </c>
      <c r="C9" s="10" t="inlineStr">
        <is>
          <t>JBOX</t>
        </is>
      </c>
      <c r="D9" s="10" t="inlineStr">
        <is>
          <t>STUD</t>
        </is>
      </c>
      <c r="E9" s="12">
        <f>COUNTIF(Pins!$A$2:$A$1000,A9)</f>
        <v/>
      </c>
      <c r="F9" s="11" t="n"/>
      <c r="G9" s="11" t="n"/>
      <c r="H9" s="10" t="n"/>
      <c r="I9" s="10" t="n"/>
      <c r="J9" s="10" t="n"/>
      <c r="K9" s="10" t="n"/>
      <c r="L9" s="10" t="n"/>
      <c r="M9" s="11" t="n"/>
      <c r="N9" s="11" t="n"/>
      <c r="O9" s="11" t="n"/>
      <c r="P9" s="12">
        <f>IF(COUNTIF(Segments!$B$2:$C$1000,A9)&gt;0,"Y","N")</f>
        <v/>
      </c>
      <c r="Q9" s="12">
        <f>COUNTIF(Wires!$D$2:$D$1000,A9)+COUNTIF(Wires!$F$2:$F$1000,A9)</f>
        <v/>
      </c>
      <c r="R9" s="12">
        <f>IF(A9="","",IF(D9="SPLICE","",IF(P9="N","fora da topologia; ","")&amp;IF(G9="","sem P/N; ","")&amp;IF(AND(G9&lt;&gt;"",COUNTIF(Parts!$A$2:$A$1000,G9)=0),"P/N não está em Parts; ","")&amp;IF(M9="","sem xyz; ","")))</f>
        <v/>
      </c>
      <c r="S9" s="10" t="inlineStr">
        <is>
          <t>Sem folha própria — criado a partir dos destinos.</t>
        </is>
      </c>
      <c r="T9" s="10" t="n"/>
    </row>
    <row r="10">
      <c r="A10" s="10" t="inlineStr">
        <is>
          <t>GROUND POINT</t>
        </is>
      </c>
      <c r="B10" s="10" t="inlineStr">
        <is>
          <t>GROUND</t>
        </is>
      </c>
      <c r="C10" s="10" t="inlineStr">
        <is>
          <t>JBOX</t>
        </is>
      </c>
      <c r="D10" s="10" t="inlineStr">
        <is>
          <t>STUD</t>
        </is>
      </c>
      <c r="E10" s="12">
        <f>COUNTIF(Pins!$A$2:$A$1000,A10)</f>
        <v/>
      </c>
      <c r="F10" s="11" t="n"/>
      <c r="G10" s="11" t="n"/>
      <c r="H10" s="10" t="n"/>
      <c r="I10" s="10" t="n"/>
      <c r="J10" s="10" t="n"/>
      <c r="K10" s="10" t="n"/>
      <c r="L10" s="10" t="n"/>
      <c r="M10" s="11" t="n"/>
      <c r="N10" s="11" t="n"/>
      <c r="O10" s="11" t="n"/>
      <c r="P10" s="12">
        <f>IF(COUNTIF(Segments!$B$2:$C$1000,A10)&gt;0,"Y","N")</f>
        <v/>
      </c>
      <c r="Q10" s="12">
        <f>COUNTIF(Wires!$D$2:$D$1000,A10)+COUNTIF(Wires!$F$2:$F$1000,A10)</f>
        <v/>
      </c>
      <c r="R10" s="12">
        <f>IF(A10="","",IF(D10="SPLICE","",IF(P10="N","fora da topologia; ","")&amp;IF(G10="","sem P/N; ","")&amp;IF(AND(G10&lt;&gt;"",COUNTIF(Parts!$A$2:$A$1000,G10)=0),"P/N não está em Parts; ","")&amp;IF(M10="","sem xyz; ","")))</f>
        <v/>
      </c>
      <c r="S10" s="10" t="inlineStr">
        <is>
          <t>Sem folha própria — criado a partir dos destinos.</t>
        </is>
      </c>
      <c r="T10" s="10" t="n"/>
    </row>
  </sheetData>
  <autoFilter ref="A1:T10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10" t="inlineStr">
        <is>
          <t>TSAL RED J1</t>
        </is>
      </c>
      <c r="B2" s="10" t="inlineStr">
        <is>
          <t>1</t>
        </is>
      </c>
      <c r="C2" s="10" t="inlineStr">
        <is>
          <t>+HV</t>
        </is>
      </c>
      <c r="D2" s="10" t="inlineStr">
        <is>
          <t>IN</t>
        </is>
      </c>
      <c r="E2" s="10" t="inlineStr">
        <is>
          <t>600V</t>
        </is>
      </c>
      <c r="F2" s="12">
        <f>IF(N2="","",INDEX(Wires!$A$2:$A$1000,N2))</f>
        <v/>
      </c>
      <c r="G2" s="12">
        <f>IF(N2="","",INDEX(Wires!$C$2:$C$1000,N2))</f>
        <v/>
      </c>
      <c r="H2" s="12">
        <f>IF(N2="","",IF(O2="from",INDEX(Wires!$F$2:$F$1000,N2)&amp;":"&amp;INDEX(Wires!$G$2:$G$1000,N2),INDEX(Wires!$D$2:$D$1000,N2)&amp;":"&amp;INDEX(Wires!$E$2:$E$1000,N2)))</f>
        <v/>
      </c>
      <c r="I2" s="12">
        <f>IF(N2="","",INDEX(Wires!$H$2:$H$1000,N2)&amp;"")</f>
        <v/>
      </c>
      <c r="J2" s="12">
        <f>IF(N2="","",IF(INDEX(Wires!$I$2:$I$1000,N2)="","",INDEX(Wires!$I$2:$I$1000,N2)))</f>
        <v/>
      </c>
      <c r="K2" s="12">
        <f>COUNTIF(Wires!$W$2:$W$1000,M2)+COUNTIF(Wires!$X$2:$X$1000,M2)</f>
        <v/>
      </c>
      <c r="L2" s="12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2">
        <f>A2&amp;":"&amp;B2&amp;IF(EXACT(B2,UPPER(B2)),"","|lc")</f>
        <v/>
      </c>
      <c r="N2" s="12">
        <f>IFERROR(MATCH(M2,Wires!$W$2:$W$1000,0),IFERROR(MATCH(M2,Wires!$X$2:$X$1000,0),""))</f>
        <v/>
      </c>
      <c r="O2" s="12">
        <f>IF(N2="","",IF(ISNUMBER(MATCH(M2,Wires!$W$2:$W$1000,0)),"from","to"))</f>
        <v/>
      </c>
    </row>
    <row r="3">
      <c r="A3" s="10" t="inlineStr">
        <is>
          <t>TSAL RED J1</t>
        </is>
      </c>
      <c r="B3" s="10" t="inlineStr">
        <is>
          <t>2</t>
        </is>
      </c>
      <c r="C3" s="10" t="inlineStr">
        <is>
          <t>-HV</t>
        </is>
      </c>
      <c r="D3" s="10" t="inlineStr">
        <is>
          <t>IN</t>
        </is>
      </c>
      <c r="E3" s="10" t="inlineStr">
        <is>
          <t>0V</t>
        </is>
      </c>
      <c r="F3" s="12">
        <f>IF(N3="","",INDEX(Wires!$A$2:$A$1000,N3))</f>
        <v/>
      </c>
      <c r="G3" s="12">
        <f>IF(N3="","",INDEX(Wires!$C$2:$C$1000,N3))</f>
        <v/>
      </c>
      <c r="H3" s="12">
        <f>IF(N3="","",IF(O3="from",INDEX(Wires!$F$2:$F$1000,N3)&amp;":"&amp;INDEX(Wires!$G$2:$G$1000,N3),INDEX(Wires!$D$2:$D$1000,N3)&amp;":"&amp;INDEX(Wires!$E$2:$E$1000,N3)))</f>
        <v/>
      </c>
      <c r="I3" s="12">
        <f>IF(N3="","",INDEX(Wires!$H$2:$H$1000,N3)&amp;"")</f>
        <v/>
      </c>
      <c r="J3" s="12">
        <f>IF(N3="","",IF(INDEX(Wires!$I$2:$I$1000,N3)="","",INDEX(Wires!$I$2:$I$1000,N3)))</f>
        <v/>
      </c>
      <c r="K3" s="12">
        <f>COUNTIF(Wires!$W$2:$W$1000,M3)+COUNTIF(Wires!$X$2:$X$1000,M3)</f>
        <v/>
      </c>
      <c r="L3" s="12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2">
        <f>A3&amp;":"&amp;B3&amp;IF(EXACT(B3,UPPER(B3)),"","|lc")</f>
        <v/>
      </c>
      <c r="N3" s="12">
        <f>IFERROR(MATCH(M3,Wires!$W$2:$W$1000,0),IFERROR(MATCH(M3,Wires!$X$2:$X$1000,0),""))</f>
        <v/>
      </c>
      <c r="O3" s="12">
        <f>IF(N3="","",IF(ISNUMBER(MATCH(M3,Wires!$W$2:$W$1000,0)),"from","to"))</f>
        <v/>
      </c>
    </row>
    <row r="4">
      <c r="A4" s="10" t="inlineStr">
        <is>
          <t>TSAL RED D2</t>
        </is>
      </c>
      <c r="B4" s="10" t="inlineStr">
        <is>
          <t>1</t>
        </is>
      </c>
      <c r="C4" s="10" t="inlineStr">
        <is>
          <t>+24V</t>
        </is>
      </c>
      <c r="D4" s="10" t="inlineStr">
        <is>
          <t>VCC</t>
        </is>
      </c>
      <c r="E4" s="10" t="inlineStr">
        <is>
          <t>24V</t>
        </is>
      </c>
      <c r="F4" s="12">
        <f>IF(N4="","",INDEX(Wires!$A$2:$A$1000,N4))</f>
        <v/>
      </c>
      <c r="G4" s="12">
        <f>IF(N4="","",INDEX(Wires!$C$2:$C$1000,N4))</f>
        <v/>
      </c>
      <c r="H4" s="12">
        <f>IF(N4="","",IF(O4="from",INDEX(Wires!$F$2:$F$1000,N4)&amp;":"&amp;INDEX(Wires!$G$2:$G$1000,N4),INDEX(Wires!$D$2:$D$1000,N4)&amp;":"&amp;INDEX(Wires!$E$2:$E$1000,N4)))</f>
        <v/>
      </c>
      <c r="I4" s="12">
        <f>IF(N4="","",INDEX(Wires!$H$2:$H$1000,N4)&amp;"")</f>
        <v/>
      </c>
      <c r="J4" s="12">
        <f>IF(N4="","",IF(INDEX(Wires!$I$2:$I$1000,N4)="","",INDEX(Wires!$I$2:$I$1000,N4)))</f>
        <v/>
      </c>
      <c r="K4" s="12">
        <f>COUNTIF(Wires!$W$2:$W$1000,M4)+COUNTIF(Wires!$X$2:$X$1000,M4)</f>
        <v/>
      </c>
      <c r="L4" s="12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2">
        <f>A4&amp;":"&amp;B4&amp;IF(EXACT(B4,UPPER(B4)),"","|lc")</f>
        <v/>
      </c>
      <c r="N4" s="12">
        <f>IFERROR(MATCH(M4,Wires!$W$2:$W$1000,0),IFERROR(MATCH(M4,Wires!$X$2:$X$1000,0),""))</f>
        <v/>
      </c>
      <c r="O4" s="12">
        <f>IF(N4="","",IF(ISNUMBER(MATCH(M4,Wires!$W$2:$W$1000,0)),"from","to"))</f>
        <v/>
      </c>
    </row>
    <row r="5">
      <c r="A5" s="10" t="inlineStr">
        <is>
          <t>TSAL RED D2</t>
        </is>
      </c>
      <c r="B5" s="10" t="inlineStr">
        <is>
          <t>2</t>
        </is>
      </c>
      <c r="C5" s="10" t="inlineStr">
        <is>
          <t>Led S</t>
        </is>
      </c>
      <c r="D5" s="10" t="inlineStr">
        <is>
          <t>OUT</t>
        </is>
      </c>
      <c r="E5" s="10" t="inlineStr">
        <is>
          <t>12V</t>
        </is>
      </c>
      <c r="F5" s="12">
        <f>IF(N5="","",INDEX(Wires!$A$2:$A$1000,N5))</f>
        <v/>
      </c>
      <c r="G5" s="12">
        <f>IF(N5="","",INDEX(Wires!$C$2:$C$1000,N5))</f>
        <v/>
      </c>
      <c r="H5" s="12">
        <f>IF(N5="","",IF(O5="from",INDEX(Wires!$F$2:$F$1000,N5)&amp;":"&amp;INDEX(Wires!$G$2:$G$1000,N5),INDEX(Wires!$D$2:$D$1000,N5)&amp;":"&amp;INDEX(Wires!$E$2:$E$1000,N5)))</f>
        <v/>
      </c>
      <c r="I5" s="12">
        <f>IF(N5="","",INDEX(Wires!$H$2:$H$1000,N5)&amp;"")</f>
        <v/>
      </c>
      <c r="J5" s="12">
        <f>IF(N5="","",IF(INDEX(Wires!$I$2:$I$1000,N5)="","",INDEX(Wires!$I$2:$I$1000,N5)))</f>
        <v/>
      </c>
      <c r="K5" s="12">
        <f>COUNTIF(Wires!$W$2:$W$1000,M5)+COUNTIF(Wires!$X$2:$X$1000,M5)</f>
        <v/>
      </c>
      <c r="L5" s="12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2">
        <f>A5&amp;":"&amp;B5&amp;IF(EXACT(B5,UPPER(B5)),"","|lc")</f>
        <v/>
      </c>
      <c r="N5" s="12">
        <f>IFERROR(MATCH(M5,Wires!$W$2:$W$1000,0),IFERROR(MATCH(M5,Wires!$X$2:$X$1000,0),""))</f>
        <v/>
      </c>
      <c r="O5" s="12">
        <f>IF(N5="","",IF(ISNUMBER(MATCH(M5,Wires!$W$2:$W$1000,0)),"from","to"))</f>
        <v/>
      </c>
    </row>
    <row r="6">
      <c r="A6" s="10" t="inlineStr">
        <is>
          <t>TSAL RED D2</t>
        </is>
      </c>
      <c r="B6" s="10" t="inlineStr">
        <is>
          <t>3</t>
        </is>
      </c>
      <c r="C6" s="10" t="inlineStr">
        <is>
          <t>GND</t>
        </is>
      </c>
      <c r="D6" s="10" t="inlineStr">
        <is>
          <t>GND</t>
        </is>
      </c>
      <c r="E6" s="10" t="inlineStr">
        <is>
          <t>0V</t>
        </is>
      </c>
      <c r="F6" s="12">
        <f>IF(N6="","",INDEX(Wires!$A$2:$A$1000,N6))</f>
        <v/>
      </c>
      <c r="G6" s="12">
        <f>IF(N6="","",INDEX(Wires!$C$2:$C$1000,N6))</f>
        <v/>
      </c>
      <c r="H6" s="12">
        <f>IF(N6="","",IF(O6="from",INDEX(Wires!$F$2:$F$1000,N6)&amp;":"&amp;INDEX(Wires!$G$2:$G$1000,N6),INDEX(Wires!$D$2:$D$1000,N6)&amp;":"&amp;INDEX(Wires!$E$2:$E$1000,N6)))</f>
        <v/>
      </c>
      <c r="I6" s="12">
        <f>IF(N6="","",INDEX(Wires!$H$2:$H$1000,N6)&amp;"")</f>
        <v/>
      </c>
      <c r="J6" s="12">
        <f>IF(N6="","",IF(INDEX(Wires!$I$2:$I$1000,N6)="","",INDEX(Wires!$I$2:$I$1000,N6)))</f>
        <v/>
      </c>
      <c r="K6" s="12">
        <f>COUNTIF(Wires!$W$2:$W$1000,M6)+COUNTIF(Wires!$X$2:$X$1000,M6)</f>
        <v/>
      </c>
      <c r="L6" s="12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2">
        <f>A6&amp;":"&amp;B6&amp;IF(EXACT(B6,UPPER(B6)),"","|lc")</f>
        <v/>
      </c>
      <c r="N6" s="12">
        <f>IFERROR(MATCH(M6,Wires!$W$2:$W$1000,0),IFERROR(MATCH(M6,Wires!$X$2:$X$1000,0),""))</f>
        <v/>
      </c>
      <c r="O6" s="12">
        <f>IF(N6="","",IF(ISNUMBER(MATCH(M6,Wires!$W$2:$W$1000,0)),"from","to"))</f>
        <v/>
      </c>
    </row>
    <row r="7">
      <c r="A7" s="10" t="inlineStr">
        <is>
          <t>INVERTER L1</t>
        </is>
      </c>
      <c r="B7" s="10" t="inlineStr">
        <is>
          <t>1</t>
        </is>
      </c>
      <c r="C7" s="10" t="n"/>
      <c r="D7" s="10" t="n"/>
      <c r="E7" s="10" t="n"/>
      <c r="F7" s="12">
        <f>IF(N7="","",INDEX(Wires!$A$2:$A$1000,N7))</f>
        <v/>
      </c>
      <c r="G7" s="12">
        <f>IF(N7="","",INDEX(Wires!$C$2:$C$1000,N7))</f>
        <v/>
      </c>
      <c r="H7" s="12">
        <f>IF(N7="","",IF(O7="from",INDEX(Wires!$F$2:$F$1000,N7)&amp;":"&amp;INDEX(Wires!$G$2:$G$1000,N7),INDEX(Wires!$D$2:$D$1000,N7)&amp;":"&amp;INDEX(Wires!$E$2:$E$1000,N7)))</f>
        <v/>
      </c>
      <c r="I7" s="12">
        <f>IF(N7="","",INDEX(Wires!$H$2:$H$1000,N7)&amp;"")</f>
        <v/>
      </c>
      <c r="J7" s="12">
        <f>IF(N7="","",IF(INDEX(Wires!$I$2:$I$1000,N7)="","",INDEX(Wires!$I$2:$I$1000,N7)))</f>
        <v/>
      </c>
      <c r="K7" s="12">
        <f>COUNTIF(Wires!$W$2:$W$1000,M7)+COUNTIF(Wires!$X$2:$X$1000,M7)</f>
        <v/>
      </c>
      <c r="L7" s="12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2">
        <f>A7&amp;":"&amp;B7&amp;IF(EXACT(B7,UPPER(B7)),"","|lc")</f>
        <v/>
      </c>
      <c r="N7" s="12">
        <f>IFERROR(MATCH(M7,Wires!$W$2:$W$1000,0),IFERROR(MATCH(M7,Wires!$X$2:$X$1000,0),""))</f>
        <v/>
      </c>
      <c r="O7" s="12">
        <f>IF(N7="","",IF(ISNUMBER(MATCH(M7,Wires!$W$2:$W$1000,0)),"from","to"))</f>
        <v/>
      </c>
    </row>
    <row r="8">
      <c r="A8" s="10" t="inlineStr">
        <is>
          <t>INVERTER L1</t>
        </is>
      </c>
      <c r="B8" s="10" t="inlineStr">
        <is>
          <t>2</t>
        </is>
      </c>
      <c r="C8" s="10" t="n"/>
      <c r="D8" s="10" t="n"/>
      <c r="E8" s="10" t="n"/>
      <c r="F8" s="12">
        <f>IF(N8="","",INDEX(Wires!$A$2:$A$1000,N8))</f>
        <v/>
      </c>
      <c r="G8" s="12">
        <f>IF(N8="","",INDEX(Wires!$C$2:$C$1000,N8))</f>
        <v/>
      </c>
      <c r="H8" s="12">
        <f>IF(N8="","",IF(O8="from",INDEX(Wires!$F$2:$F$1000,N8)&amp;":"&amp;INDEX(Wires!$G$2:$G$1000,N8),INDEX(Wires!$D$2:$D$1000,N8)&amp;":"&amp;INDEX(Wires!$E$2:$E$1000,N8)))</f>
        <v/>
      </c>
      <c r="I8" s="12">
        <f>IF(N8="","",INDEX(Wires!$H$2:$H$1000,N8)&amp;"")</f>
        <v/>
      </c>
      <c r="J8" s="12">
        <f>IF(N8="","",IF(INDEX(Wires!$I$2:$I$1000,N8)="","",INDEX(Wires!$I$2:$I$1000,N8)))</f>
        <v/>
      </c>
      <c r="K8" s="12">
        <f>COUNTIF(Wires!$W$2:$W$1000,M8)+COUNTIF(Wires!$X$2:$X$1000,M8)</f>
        <v/>
      </c>
      <c r="L8" s="12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2">
        <f>A8&amp;":"&amp;B8&amp;IF(EXACT(B8,UPPER(B8)),"","|lc")</f>
        <v/>
      </c>
      <c r="N8" s="12">
        <f>IFERROR(MATCH(M8,Wires!$W$2:$W$1000,0),IFERROR(MATCH(M8,Wires!$X$2:$X$1000,0),""))</f>
        <v/>
      </c>
      <c r="O8" s="12">
        <f>IF(N8="","",IF(ISNUMBER(MATCH(M8,Wires!$W$2:$W$1000,0)),"from","to"))</f>
        <v/>
      </c>
    </row>
    <row r="9">
      <c r="A9" s="10" t="inlineStr">
        <is>
          <t>INVERTER L1</t>
        </is>
      </c>
      <c r="B9" s="10" t="inlineStr">
        <is>
          <t>3</t>
        </is>
      </c>
      <c r="C9" s="10" t="n"/>
      <c r="D9" s="10" t="n"/>
      <c r="E9" s="10" t="n"/>
      <c r="F9" s="12">
        <f>IF(N9="","",INDEX(Wires!$A$2:$A$1000,N9))</f>
        <v/>
      </c>
      <c r="G9" s="12">
        <f>IF(N9="","",INDEX(Wires!$C$2:$C$1000,N9))</f>
        <v/>
      </c>
      <c r="H9" s="12">
        <f>IF(N9="","",IF(O9="from",INDEX(Wires!$F$2:$F$1000,N9)&amp;":"&amp;INDEX(Wires!$G$2:$G$1000,N9),INDEX(Wires!$D$2:$D$1000,N9)&amp;":"&amp;INDEX(Wires!$E$2:$E$1000,N9)))</f>
        <v/>
      </c>
      <c r="I9" s="12">
        <f>IF(N9="","",INDEX(Wires!$H$2:$H$1000,N9)&amp;"")</f>
        <v/>
      </c>
      <c r="J9" s="12">
        <f>IF(N9="","",IF(INDEX(Wires!$I$2:$I$1000,N9)="","",INDEX(Wires!$I$2:$I$1000,N9)))</f>
        <v/>
      </c>
      <c r="K9" s="12">
        <f>COUNTIF(Wires!$W$2:$W$1000,M9)+COUNTIF(Wires!$X$2:$X$1000,M9)</f>
        <v/>
      </c>
      <c r="L9" s="12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2">
        <f>A9&amp;":"&amp;B9&amp;IF(EXACT(B9,UPPER(B9)),"","|lc")</f>
        <v/>
      </c>
      <c r="N9" s="12">
        <f>IFERROR(MATCH(M9,Wires!$W$2:$W$1000,0),IFERROR(MATCH(M9,Wires!$X$2:$X$1000,0),""))</f>
        <v/>
      </c>
      <c r="O9" s="12">
        <f>IF(N9="","",IF(ISNUMBER(MATCH(M9,Wires!$W$2:$W$1000,0)),"from","to"))</f>
        <v/>
      </c>
    </row>
    <row r="10">
      <c r="A10" s="10" t="inlineStr">
        <is>
          <t>INVERTER L1</t>
        </is>
      </c>
      <c r="B10" s="10" t="inlineStr">
        <is>
          <t>4</t>
        </is>
      </c>
      <c r="C10" s="10" t="n"/>
      <c r="D10" s="10" t="n"/>
      <c r="E10" s="10" t="n"/>
      <c r="F10" s="12">
        <f>IF(N10="","",INDEX(Wires!$A$2:$A$1000,N10))</f>
        <v/>
      </c>
      <c r="G10" s="12">
        <f>IF(N10="","",INDEX(Wires!$C$2:$C$1000,N10))</f>
        <v/>
      </c>
      <c r="H10" s="12">
        <f>IF(N10="","",IF(O10="from",INDEX(Wires!$F$2:$F$1000,N10)&amp;":"&amp;INDEX(Wires!$G$2:$G$1000,N10),INDEX(Wires!$D$2:$D$1000,N10)&amp;":"&amp;INDEX(Wires!$E$2:$E$1000,N10)))</f>
        <v/>
      </c>
      <c r="I10" s="12">
        <f>IF(N10="","",INDEX(Wires!$H$2:$H$1000,N10)&amp;"")</f>
        <v/>
      </c>
      <c r="J10" s="12">
        <f>IF(N10="","",IF(INDEX(Wires!$I$2:$I$1000,N10)="","",INDEX(Wires!$I$2:$I$1000,N10)))</f>
        <v/>
      </c>
      <c r="K10" s="12">
        <f>COUNTIF(Wires!$W$2:$W$1000,M10)+COUNTIF(Wires!$X$2:$X$1000,M10)</f>
        <v/>
      </c>
      <c r="L10" s="12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2">
        <f>A10&amp;":"&amp;B10&amp;IF(EXACT(B10,UPPER(B10)),"","|lc")</f>
        <v/>
      </c>
      <c r="N10" s="12">
        <f>IFERROR(MATCH(M10,Wires!$W$2:$W$1000,0),IFERROR(MATCH(M10,Wires!$X$2:$X$1000,0),""))</f>
        <v/>
      </c>
      <c r="O10" s="12">
        <f>IF(N10="","",IF(ISNUMBER(MATCH(M10,Wires!$W$2:$W$1000,0)),"from","to"))</f>
        <v/>
      </c>
    </row>
    <row r="11">
      <c r="A11" s="10" t="inlineStr">
        <is>
          <t>INVERTER L1</t>
        </is>
      </c>
      <c r="B11" s="10" t="inlineStr">
        <is>
          <t>5</t>
        </is>
      </c>
      <c r="C11" s="10" t="n"/>
      <c r="D11" s="10" t="n"/>
      <c r="E11" s="10" t="n"/>
      <c r="F11" s="12">
        <f>IF(N11="","",INDEX(Wires!$A$2:$A$1000,N11))</f>
        <v/>
      </c>
      <c r="G11" s="12">
        <f>IF(N11="","",INDEX(Wires!$C$2:$C$1000,N11))</f>
        <v/>
      </c>
      <c r="H11" s="12">
        <f>IF(N11="","",IF(O11="from",INDEX(Wires!$F$2:$F$1000,N11)&amp;":"&amp;INDEX(Wires!$G$2:$G$1000,N11),INDEX(Wires!$D$2:$D$1000,N11)&amp;":"&amp;INDEX(Wires!$E$2:$E$1000,N11)))</f>
        <v/>
      </c>
      <c r="I11" s="12">
        <f>IF(N11="","",INDEX(Wires!$H$2:$H$1000,N11)&amp;"")</f>
        <v/>
      </c>
      <c r="J11" s="12">
        <f>IF(N11="","",IF(INDEX(Wires!$I$2:$I$1000,N11)="","",INDEX(Wires!$I$2:$I$1000,N11)))</f>
        <v/>
      </c>
      <c r="K11" s="12">
        <f>COUNTIF(Wires!$W$2:$W$1000,M11)+COUNTIF(Wires!$X$2:$X$1000,M11)</f>
        <v/>
      </c>
      <c r="L11" s="12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2">
        <f>A11&amp;":"&amp;B11&amp;IF(EXACT(B11,UPPER(B11)),"","|lc")</f>
        <v/>
      </c>
      <c r="N11" s="12">
        <f>IFERROR(MATCH(M11,Wires!$W$2:$W$1000,0),IFERROR(MATCH(M11,Wires!$X$2:$X$1000,0),""))</f>
        <v/>
      </c>
      <c r="O11" s="12">
        <f>IF(N11="","",IF(ISNUMBER(MATCH(M11,Wires!$W$2:$W$1000,0)),"from","to"))</f>
        <v/>
      </c>
    </row>
    <row r="12">
      <c r="A12" s="10" t="inlineStr">
        <is>
          <t>INVERTER L1</t>
        </is>
      </c>
      <c r="B12" s="10" t="inlineStr">
        <is>
          <t>6</t>
        </is>
      </c>
      <c r="C12" s="10" t="n"/>
      <c r="D12" s="10" t="n"/>
      <c r="E12" s="10" t="n"/>
      <c r="F12" s="12">
        <f>IF(N12="","",INDEX(Wires!$A$2:$A$1000,N12))</f>
        <v/>
      </c>
      <c r="G12" s="12">
        <f>IF(N12="","",INDEX(Wires!$C$2:$C$1000,N12))</f>
        <v/>
      </c>
      <c r="H12" s="12">
        <f>IF(N12="","",IF(O12="from",INDEX(Wires!$F$2:$F$1000,N12)&amp;":"&amp;INDEX(Wires!$G$2:$G$1000,N12),INDEX(Wires!$D$2:$D$1000,N12)&amp;":"&amp;INDEX(Wires!$E$2:$E$1000,N12)))</f>
        <v/>
      </c>
      <c r="I12" s="12">
        <f>IF(N12="","",INDEX(Wires!$H$2:$H$1000,N12)&amp;"")</f>
        <v/>
      </c>
      <c r="J12" s="12">
        <f>IF(N12="","",IF(INDEX(Wires!$I$2:$I$1000,N12)="","",INDEX(Wires!$I$2:$I$1000,N12)))</f>
        <v/>
      </c>
      <c r="K12" s="12">
        <f>COUNTIF(Wires!$W$2:$W$1000,M12)+COUNTIF(Wires!$X$2:$X$1000,M12)</f>
        <v/>
      </c>
      <c r="L12" s="12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2">
        <f>A12&amp;":"&amp;B12&amp;IF(EXACT(B12,UPPER(B12)),"","|lc")</f>
        <v/>
      </c>
      <c r="N12" s="12">
        <f>IFERROR(MATCH(M12,Wires!$W$2:$W$1000,0),IFERROR(MATCH(M12,Wires!$X$2:$X$1000,0),""))</f>
        <v/>
      </c>
      <c r="O12" s="12">
        <f>IF(N12="","",IF(ISNUMBER(MATCH(M12,Wires!$W$2:$W$1000,0)),"from","to"))</f>
        <v/>
      </c>
    </row>
    <row r="13">
      <c r="A13" s="10" t="inlineStr">
        <is>
          <t>INVERTER L1</t>
        </is>
      </c>
      <c r="B13" s="10" t="inlineStr">
        <is>
          <t>7</t>
        </is>
      </c>
      <c r="C13" s="10" t="n"/>
      <c r="D13" s="10" t="n"/>
      <c r="E13" s="10" t="n"/>
      <c r="F13" s="12">
        <f>IF(N13="","",INDEX(Wires!$A$2:$A$1000,N13))</f>
        <v/>
      </c>
      <c r="G13" s="12">
        <f>IF(N13="","",INDEX(Wires!$C$2:$C$1000,N13))</f>
        <v/>
      </c>
      <c r="H13" s="12">
        <f>IF(N13="","",IF(O13="from",INDEX(Wires!$F$2:$F$1000,N13)&amp;":"&amp;INDEX(Wires!$G$2:$G$1000,N13),INDEX(Wires!$D$2:$D$1000,N13)&amp;":"&amp;INDEX(Wires!$E$2:$E$1000,N13)))</f>
        <v/>
      </c>
      <c r="I13" s="12">
        <f>IF(N13="","",INDEX(Wires!$H$2:$H$1000,N13)&amp;"")</f>
        <v/>
      </c>
      <c r="J13" s="12">
        <f>IF(N13="","",IF(INDEX(Wires!$I$2:$I$1000,N13)="","",INDEX(Wires!$I$2:$I$1000,N13)))</f>
        <v/>
      </c>
      <c r="K13" s="12">
        <f>COUNTIF(Wires!$W$2:$W$1000,M13)+COUNTIF(Wires!$X$2:$X$1000,M13)</f>
        <v/>
      </c>
      <c r="L13" s="12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2">
        <f>A13&amp;":"&amp;B13&amp;IF(EXACT(B13,UPPER(B13)),"","|lc")</f>
        <v/>
      </c>
      <c r="N13" s="12">
        <f>IFERROR(MATCH(M13,Wires!$W$2:$W$1000,0),IFERROR(MATCH(M13,Wires!$X$2:$X$1000,0),""))</f>
        <v/>
      </c>
      <c r="O13" s="12">
        <f>IF(N13="","",IF(ISNUMBER(MATCH(M13,Wires!$W$2:$W$1000,0)),"from","to"))</f>
        <v/>
      </c>
    </row>
    <row r="14">
      <c r="A14" s="10" t="inlineStr">
        <is>
          <t>INVERTER L1</t>
        </is>
      </c>
      <c r="B14" s="10" t="inlineStr">
        <is>
          <t>8</t>
        </is>
      </c>
      <c r="C14" s="10" t="n"/>
      <c r="D14" s="10" t="n"/>
      <c r="E14" s="10" t="n"/>
      <c r="F14" s="12">
        <f>IF(N14="","",INDEX(Wires!$A$2:$A$1000,N14))</f>
        <v/>
      </c>
      <c r="G14" s="12">
        <f>IF(N14="","",INDEX(Wires!$C$2:$C$1000,N14))</f>
        <v/>
      </c>
      <c r="H14" s="12">
        <f>IF(N14="","",IF(O14="from",INDEX(Wires!$F$2:$F$1000,N14)&amp;":"&amp;INDEX(Wires!$G$2:$G$1000,N14),INDEX(Wires!$D$2:$D$1000,N14)&amp;":"&amp;INDEX(Wires!$E$2:$E$1000,N14)))</f>
        <v/>
      </c>
      <c r="I14" s="12">
        <f>IF(N14="","",INDEX(Wires!$H$2:$H$1000,N14)&amp;"")</f>
        <v/>
      </c>
      <c r="J14" s="12">
        <f>IF(N14="","",IF(INDEX(Wires!$I$2:$I$1000,N14)="","",INDEX(Wires!$I$2:$I$1000,N14)))</f>
        <v/>
      </c>
      <c r="K14" s="12">
        <f>COUNTIF(Wires!$W$2:$W$1000,M14)+COUNTIF(Wires!$X$2:$X$1000,M14)</f>
        <v/>
      </c>
      <c r="L14" s="12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2">
        <f>A14&amp;":"&amp;B14&amp;IF(EXACT(B14,UPPER(B14)),"","|lc")</f>
        <v/>
      </c>
      <c r="N14" s="12">
        <f>IFERROR(MATCH(M14,Wires!$W$2:$W$1000,0),IFERROR(MATCH(M14,Wires!$X$2:$X$1000,0),""))</f>
        <v/>
      </c>
      <c r="O14" s="12">
        <f>IF(N14="","",IF(ISNUMBER(MATCH(M14,Wires!$W$2:$W$1000,0)),"from","to"))</f>
        <v/>
      </c>
    </row>
    <row r="15">
      <c r="A15" s="10" t="inlineStr">
        <is>
          <t>INVERTER L1</t>
        </is>
      </c>
      <c r="B15" s="10" t="inlineStr">
        <is>
          <t>9</t>
        </is>
      </c>
      <c r="C15" s="10" t="n"/>
      <c r="D15" s="10" t="n"/>
      <c r="E15" s="10" t="n"/>
      <c r="F15" s="12">
        <f>IF(N15="","",INDEX(Wires!$A$2:$A$1000,N15))</f>
        <v/>
      </c>
      <c r="G15" s="12">
        <f>IF(N15="","",INDEX(Wires!$C$2:$C$1000,N15))</f>
        <v/>
      </c>
      <c r="H15" s="12">
        <f>IF(N15="","",IF(O15="from",INDEX(Wires!$F$2:$F$1000,N15)&amp;":"&amp;INDEX(Wires!$G$2:$G$1000,N15),INDEX(Wires!$D$2:$D$1000,N15)&amp;":"&amp;INDEX(Wires!$E$2:$E$1000,N15)))</f>
        <v/>
      </c>
      <c r="I15" s="12">
        <f>IF(N15="","",INDEX(Wires!$H$2:$H$1000,N15)&amp;"")</f>
        <v/>
      </c>
      <c r="J15" s="12">
        <f>IF(N15="","",IF(INDEX(Wires!$I$2:$I$1000,N15)="","",INDEX(Wires!$I$2:$I$1000,N15)))</f>
        <v/>
      </c>
      <c r="K15" s="12">
        <f>COUNTIF(Wires!$W$2:$W$1000,M15)+COUNTIF(Wires!$X$2:$X$1000,M15)</f>
        <v/>
      </c>
      <c r="L15" s="12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2">
        <f>A15&amp;":"&amp;B15&amp;IF(EXACT(B15,UPPER(B15)),"","|lc")</f>
        <v/>
      </c>
      <c r="N15" s="12">
        <f>IFERROR(MATCH(M15,Wires!$W$2:$W$1000,0),IFERROR(MATCH(M15,Wires!$X$2:$X$1000,0),""))</f>
        <v/>
      </c>
      <c r="O15" s="12">
        <f>IF(N15="","",IF(ISNUMBER(MATCH(M15,Wires!$W$2:$W$1000,0)),"from","to"))</f>
        <v/>
      </c>
    </row>
    <row r="16">
      <c r="A16" s="10" t="inlineStr">
        <is>
          <t>INVERTER L1</t>
        </is>
      </c>
      <c r="B16" s="10" t="inlineStr">
        <is>
          <t>10</t>
        </is>
      </c>
      <c r="C16" s="10" t="n"/>
      <c r="D16" s="10" t="n"/>
      <c r="E16" s="10" t="n"/>
      <c r="F16" s="12">
        <f>IF(N16="","",INDEX(Wires!$A$2:$A$1000,N16))</f>
        <v/>
      </c>
      <c r="G16" s="12">
        <f>IF(N16="","",INDEX(Wires!$C$2:$C$1000,N16))</f>
        <v/>
      </c>
      <c r="H16" s="12">
        <f>IF(N16="","",IF(O16="from",INDEX(Wires!$F$2:$F$1000,N16)&amp;":"&amp;INDEX(Wires!$G$2:$G$1000,N16),INDEX(Wires!$D$2:$D$1000,N16)&amp;":"&amp;INDEX(Wires!$E$2:$E$1000,N16)))</f>
        <v/>
      </c>
      <c r="I16" s="12">
        <f>IF(N16="","",INDEX(Wires!$H$2:$H$1000,N16)&amp;"")</f>
        <v/>
      </c>
      <c r="J16" s="12">
        <f>IF(N16="","",IF(INDEX(Wires!$I$2:$I$1000,N16)="","",INDEX(Wires!$I$2:$I$1000,N16)))</f>
        <v/>
      </c>
      <c r="K16" s="12">
        <f>COUNTIF(Wires!$W$2:$W$1000,M16)+COUNTIF(Wires!$X$2:$X$1000,M16)</f>
        <v/>
      </c>
      <c r="L16" s="12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2">
        <f>A16&amp;":"&amp;B16&amp;IF(EXACT(B16,UPPER(B16)),"","|lc")</f>
        <v/>
      </c>
      <c r="N16" s="12">
        <f>IFERROR(MATCH(M16,Wires!$W$2:$W$1000,0),IFERROR(MATCH(M16,Wires!$X$2:$X$1000,0),""))</f>
        <v/>
      </c>
      <c r="O16" s="12">
        <f>IF(N16="","",IF(ISNUMBER(MATCH(M16,Wires!$W$2:$W$1000,0)),"from","to"))</f>
        <v/>
      </c>
    </row>
    <row r="17">
      <c r="A17" s="10" t="inlineStr">
        <is>
          <t>INVERTER L1</t>
        </is>
      </c>
      <c r="B17" s="10" t="inlineStr">
        <is>
          <t>11</t>
        </is>
      </c>
      <c r="C17" s="10" t="n"/>
      <c r="D17" s="10" t="n"/>
      <c r="E17" s="10" t="n"/>
      <c r="F17" s="12">
        <f>IF(N17="","",INDEX(Wires!$A$2:$A$1000,N17))</f>
        <v/>
      </c>
      <c r="G17" s="12">
        <f>IF(N17="","",INDEX(Wires!$C$2:$C$1000,N17))</f>
        <v/>
      </c>
      <c r="H17" s="12">
        <f>IF(N17="","",IF(O17="from",INDEX(Wires!$F$2:$F$1000,N17)&amp;":"&amp;INDEX(Wires!$G$2:$G$1000,N17),INDEX(Wires!$D$2:$D$1000,N17)&amp;":"&amp;INDEX(Wires!$E$2:$E$1000,N17)))</f>
        <v/>
      </c>
      <c r="I17" s="12">
        <f>IF(N17="","",INDEX(Wires!$H$2:$H$1000,N17)&amp;"")</f>
        <v/>
      </c>
      <c r="J17" s="12">
        <f>IF(N17="","",IF(INDEX(Wires!$I$2:$I$1000,N17)="","",INDEX(Wires!$I$2:$I$1000,N17)))</f>
        <v/>
      </c>
      <c r="K17" s="12">
        <f>COUNTIF(Wires!$W$2:$W$1000,M17)+COUNTIF(Wires!$X$2:$X$1000,M17)</f>
        <v/>
      </c>
      <c r="L17" s="12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2">
        <f>A17&amp;":"&amp;B17&amp;IF(EXACT(B17,UPPER(B17)),"","|lc")</f>
        <v/>
      </c>
      <c r="N17" s="12">
        <f>IFERROR(MATCH(M17,Wires!$W$2:$W$1000,0),IFERROR(MATCH(M17,Wires!$X$2:$X$1000,0),""))</f>
        <v/>
      </c>
      <c r="O17" s="12">
        <f>IF(N17="","",IF(ISNUMBER(MATCH(M17,Wires!$W$2:$W$1000,0)),"from","to"))</f>
        <v/>
      </c>
    </row>
    <row r="18">
      <c r="A18" s="10" t="inlineStr">
        <is>
          <t>INVERTER L1</t>
        </is>
      </c>
      <c r="B18" s="10" t="inlineStr">
        <is>
          <t>12</t>
        </is>
      </c>
      <c r="C18" s="10" t="n"/>
      <c r="D18" s="10" t="n"/>
      <c r="E18" s="10" t="n"/>
      <c r="F18" s="12">
        <f>IF(N18="","",INDEX(Wires!$A$2:$A$1000,N18))</f>
        <v/>
      </c>
      <c r="G18" s="12">
        <f>IF(N18="","",INDEX(Wires!$C$2:$C$1000,N18))</f>
        <v/>
      </c>
      <c r="H18" s="12">
        <f>IF(N18="","",IF(O18="from",INDEX(Wires!$F$2:$F$1000,N18)&amp;":"&amp;INDEX(Wires!$G$2:$G$1000,N18),INDEX(Wires!$D$2:$D$1000,N18)&amp;":"&amp;INDEX(Wires!$E$2:$E$1000,N18)))</f>
        <v/>
      </c>
      <c r="I18" s="12">
        <f>IF(N18="","",INDEX(Wires!$H$2:$H$1000,N18)&amp;"")</f>
        <v/>
      </c>
      <c r="J18" s="12">
        <f>IF(N18="","",IF(INDEX(Wires!$I$2:$I$1000,N18)="","",INDEX(Wires!$I$2:$I$1000,N18)))</f>
        <v/>
      </c>
      <c r="K18" s="12">
        <f>COUNTIF(Wires!$W$2:$W$1000,M18)+COUNTIF(Wires!$X$2:$X$1000,M18)</f>
        <v/>
      </c>
      <c r="L18" s="12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2">
        <f>A18&amp;":"&amp;B18&amp;IF(EXACT(B18,UPPER(B18)),"","|lc")</f>
        <v/>
      </c>
      <c r="N18" s="12">
        <f>IFERROR(MATCH(M18,Wires!$W$2:$W$1000,0),IFERROR(MATCH(M18,Wires!$X$2:$X$1000,0),""))</f>
        <v/>
      </c>
      <c r="O18" s="12">
        <f>IF(N18="","",IF(ISNUMBER(MATCH(M18,Wires!$W$2:$W$1000,0)),"from","to"))</f>
        <v/>
      </c>
    </row>
    <row r="19">
      <c r="A19" s="10" t="inlineStr">
        <is>
          <t>INVERTER L2</t>
        </is>
      </c>
      <c r="B19" s="10" t="inlineStr">
        <is>
          <t>1</t>
        </is>
      </c>
      <c r="C19" s="10" t="n"/>
      <c r="D19" s="10" t="n"/>
      <c r="E19" s="10" t="n"/>
      <c r="F19" s="12">
        <f>IF(N19="","",INDEX(Wires!$A$2:$A$1000,N19))</f>
        <v/>
      </c>
      <c r="G19" s="12">
        <f>IF(N19="","",INDEX(Wires!$C$2:$C$1000,N19))</f>
        <v/>
      </c>
      <c r="H19" s="12">
        <f>IF(N19="","",IF(O19="from",INDEX(Wires!$F$2:$F$1000,N19)&amp;":"&amp;INDEX(Wires!$G$2:$G$1000,N19),INDEX(Wires!$D$2:$D$1000,N19)&amp;":"&amp;INDEX(Wires!$E$2:$E$1000,N19)))</f>
        <v/>
      </c>
      <c r="I19" s="12">
        <f>IF(N19="","",INDEX(Wires!$H$2:$H$1000,N19)&amp;"")</f>
        <v/>
      </c>
      <c r="J19" s="12">
        <f>IF(N19="","",IF(INDEX(Wires!$I$2:$I$1000,N19)="","",INDEX(Wires!$I$2:$I$1000,N19)))</f>
        <v/>
      </c>
      <c r="K19" s="12">
        <f>COUNTIF(Wires!$W$2:$W$1000,M19)+COUNTIF(Wires!$X$2:$X$1000,M19)</f>
        <v/>
      </c>
      <c r="L19" s="12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2">
        <f>A19&amp;":"&amp;B19&amp;IF(EXACT(B19,UPPER(B19)),"","|lc")</f>
        <v/>
      </c>
      <c r="N19" s="12">
        <f>IFERROR(MATCH(M19,Wires!$W$2:$W$1000,0),IFERROR(MATCH(M19,Wires!$X$2:$X$1000,0),""))</f>
        <v/>
      </c>
      <c r="O19" s="12">
        <f>IF(N19="","",IF(ISNUMBER(MATCH(M19,Wires!$W$2:$W$1000,0)),"from","to"))</f>
        <v/>
      </c>
    </row>
    <row r="20">
      <c r="A20" s="10" t="inlineStr">
        <is>
          <t>INVERTER L2</t>
        </is>
      </c>
      <c r="B20" s="10" t="inlineStr">
        <is>
          <t>2</t>
        </is>
      </c>
      <c r="C20" s="10" t="n"/>
      <c r="D20" s="10" t="n"/>
      <c r="E20" s="10" t="n"/>
      <c r="F20" s="12">
        <f>IF(N20="","",INDEX(Wires!$A$2:$A$1000,N20))</f>
        <v/>
      </c>
      <c r="G20" s="12">
        <f>IF(N20="","",INDEX(Wires!$C$2:$C$1000,N20))</f>
        <v/>
      </c>
      <c r="H20" s="12">
        <f>IF(N20="","",IF(O20="from",INDEX(Wires!$F$2:$F$1000,N20)&amp;":"&amp;INDEX(Wires!$G$2:$G$1000,N20),INDEX(Wires!$D$2:$D$1000,N20)&amp;":"&amp;INDEX(Wires!$E$2:$E$1000,N20)))</f>
        <v/>
      </c>
      <c r="I20" s="12">
        <f>IF(N20="","",INDEX(Wires!$H$2:$H$1000,N20)&amp;"")</f>
        <v/>
      </c>
      <c r="J20" s="12">
        <f>IF(N20="","",IF(INDEX(Wires!$I$2:$I$1000,N20)="","",INDEX(Wires!$I$2:$I$1000,N20)))</f>
        <v/>
      </c>
      <c r="K20" s="12">
        <f>COUNTIF(Wires!$W$2:$W$1000,M20)+COUNTIF(Wires!$X$2:$X$1000,M20)</f>
        <v/>
      </c>
      <c r="L20" s="12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2">
        <f>A20&amp;":"&amp;B20&amp;IF(EXACT(B20,UPPER(B20)),"","|lc")</f>
        <v/>
      </c>
      <c r="N20" s="12">
        <f>IFERROR(MATCH(M20,Wires!$W$2:$W$1000,0),IFERROR(MATCH(M20,Wires!$X$2:$X$1000,0),""))</f>
        <v/>
      </c>
      <c r="O20" s="12">
        <f>IF(N20="","",IF(ISNUMBER(MATCH(M20,Wires!$W$2:$W$1000,0)),"from","to"))</f>
        <v/>
      </c>
    </row>
    <row r="21">
      <c r="A21" s="10" t="inlineStr">
        <is>
          <t>INVERTER L2</t>
        </is>
      </c>
      <c r="B21" s="10" t="inlineStr">
        <is>
          <t>3</t>
        </is>
      </c>
      <c r="C21" s="10" t="n"/>
      <c r="D21" s="10" t="n"/>
      <c r="E21" s="10" t="n"/>
      <c r="F21" s="12">
        <f>IF(N21="","",INDEX(Wires!$A$2:$A$1000,N21))</f>
        <v/>
      </c>
      <c r="G21" s="12">
        <f>IF(N21="","",INDEX(Wires!$C$2:$C$1000,N21))</f>
        <v/>
      </c>
      <c r="H21" s="12">
        <f>IF(N21="","",IF(O21="from",INDEX(Wires!$F$2:$F$1000,N21)&amp;":"&amp;INDEX(Wires!$G$2:$G$1000,N21),INDEX(Wires!$D$2:$D$1000,N21)&amp;":"&amp;INDEX(Wires!$E$2:$E$1000,N21)))</f>
        <v/>
      </c>
      <c r="I21" s="12">
        <f>IF(N21="","",INDEX(Wires!$H$2:$H$1000,N21)&amp;"")</f>
        <v/>
      </c>
      <c r="J21" s="12">
        <f>IF(N21="","",IF(INDEX(Wires!$I$2:$I$1000,N21)="","",INDEX(Wires!$I$2:$I$1000,N21)))</f>
        <v/>
      </c>
      <c r="K21" s="12">
        <f>COUNTIF(Wires!$W$2:$W$1000,M21)+COUNTIF(Wires!$X$2:$X$1000,M21)</f>
        <v/>
      </c>
      <c r="L21" s="12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2">
        <f>A21&amp;":"&amp;B21&amp;IF(EXACT(B21,UPPER(B21)),"","|lc")</f>
        <v/>
      </c>
      <c r="N21" s="12">
        <f>IFERROR(MATCH(M21,Wires!$W$2:$W$1000,0),IFERROR(MATCH(M21,Wires!$X$2:$X$1000,0),""))</f>
        <v/>
      </c>
      <c r="O21" s="12">
        <f>IF(N21="","",IF(ISNUMBER(MATCH(M21,Wires!$W$2:$W$1000,0)),"from","to"))</f>
        <v/>
      </c>
    </row>
    <row r="22">
      <c r="A22" s="10" t="inlineStr">
        <is>
          <t>INVERTER L2</t>
        </is>
      </c>
      <c r="B22" s="10" t="inlineStr">
        <is>
          <t>4</t>
        </is>
      </c>
      <c r="C22" s="10" t="n"/>
      <c r="D22" s="10" t="n"/>
      <c r="E22" s="10" t="n"/>
      <c r="F22" s="12">
        <f>IF(N22="","",INDEX(Wires!$A$2:$A$1000,N22))</f>
        <v/>
      </c>
      <c r="G22" s="12">
        <f>IF(N22="","",INDEX(Wires!$C$2:$C$1000,N22))</f>
        <v/>
      </c>
      <c r="H22" s="12">
        <f>IF(N22="","",IF(O22="from",INDEX(Wires!$F$2:$F$1000,N22)&amp;":"&amp;INDEX(Wires!$G$2:$G$1000,N22),INDEX(Wires!$D$2:$D$1000,N22)&amp;":"&amp;INDEX(Wires!$E$2:$E$1000,N22)))</f>
        <v/>
      </c>
      <c r="I22" s="12">
        <f>IF(N22="","",INDEX(Wires!$H$2:$H$1000,N22)&amp;"")</f>
        <v/>
      </c>
      <c r="J22" s="12">
        <f>IF(N22="","",IF(INDEX(Wires!$I$2:$I$1000,N22)="","",INDEX(Wires!$I$2:$I$1000,N22)))</f>
        <v/>
      </c>
      <c r="K22" s="12">
        <f>COUNTIF(Wires!$W$2:$W$1000,M22)+COUNTIF(Wires!$X$2:$X$1000,M22)</f>
        <v/>
      </c>
      <c r="L22" s="12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2">
        <f>A22&amp;":"&amp;B22&amp;IF(EXACT(B22,UPPER(B22)),"","|lc")</f>
        <v/>
      </c>
      <c r="N22" s="12">
        <f>IFERROR(MATCH(M22,Wires!$W$2:$W$1000,0),IFERROR(MATCH(M22,Wires!$X$2:$X$1000,0),""))</f>
        <v/>
      </c>
      <c r="O22" s="12">
        <f>IF(N22="","",IF(ISNUMBER(MATCH(M22,Wires!$W$2:$W$1000,0)),"from","to"))</f>
        <v/>
      </c>
    </row>
    <row r="23">
      <c r="A23" s="10" t="inlineStr">
        <is>
          <t>INVERTER L2</t>
        </is>
      </c>
      <c r="B23" s="10" t="inlineStr">
        <is>
          <t>5</t>
        </is>
      </c>
      <c r="C23" s="10" t="n"/>
      <c r="D23" s="10" t="n"/>
      <c r="E23" s="10" t="n"/>
      <c r="F23" s="12">
        <f>IF(N23="","",INDEX(Wires!$A$2:$A$1000,N23))</f>
        <v/>
      </c>
      <c r="G23" s="12">
        <f>IF(N23="","",INDEX(Wires!$C$2:$C$1000,N23))</f>
        <v/>
      </c>
      <c r="H23" s="12">
        <f>IF(N23="","",IF(O23="from",INDEX(Wires!$F$2:$F$1000,N23)&amp;":"&amp;INDEX(Wires!$G$2:$G$1000,N23),INDEX(Wires!$D$2:$D$1000,N23)&amp;":"&amp;INDEX(Wires!$E$2:$E$1000,N23)))</f>
        <v/>
      </c>
      <c r="I23" s="12">
        <f>IF(N23="","",INDEX(Wires!$H$2:$H$1000,N23)&amp;"")</f>
        <v/>
      </c>
      <c r="J23" s="12">
        <f>IF(N23="","",IF(INDEX(Wires!$I$2:$I$1000,N23)="","",INDEX(Wires!$I$2:$I$1000,N23)))</f>
        <v/>
      </c>
      <c r="K23" s="12">
        <f>COUNTIF(Wires!$W$2:$W$1000,M23)+COUNTIF(Wires!$X$2:$X$1000,M23)</f>
        <v/>
      </c>
      <c r="L23" s="12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2">
        <f>A23&amp;":"&amp;B23&amp;IF(EXACT(B23,UPPER(B23)),"","|lc")</f>
        <v/>
      </c>
      <c r="N23" s="12">
        <f>IFERROR(MATCH(M23,Wires!$W$2:$W$1000,0),IFERROR(MATCH(M23,Wires!$X$2:$X$1000,0),""))</f>
        <v/>
      </c>
      <c r="O23" s="12">
        <f>IF(N23="","",IF(ISNUMBER(MATCH(M23,Wires!$W$2:$W$1000,0)),"from","to"))</f>
        <v/>
      </c>
    </row>
    <row r="24">
      <c r="A24" s="10" t="inlineStr">
        <is>
          <t>INVERTER L2</t>
        </is>
      </c>
      <c r="B24" s="10" t="inlineStr">
        <is>
          <t>6</t>
        </is>
      </c>
      <c r="C24" s="10" t="n"/>
      <c r="D24" s="10" t="n"/>
      <c r="E24" s="10" t="n"/>
      <c r="F24" s="12">
        <f>IF(N24="","",INDEX(Wires!$A$2:$A$1000,N24))</f>
        <v/>
      </c>
      <c r="G24" s="12">
        <f>IF(N24="","",INDEX(Wires!$C$2:$C$1000,N24))</f>
        <v/>
      </c>
      <c r="H24" s="12">
        <f>IF(N24="","",IF(O24="from",INDEX(Wires!$F$2:$F$1000,N24)&amp;":"&amp;INDEX(Wires!$G$2:$G$1000,N24),INDEX(Wires!$D$2:$D$1000,N24)&amp;":"&amp;INDEX(Wires!$E$2:$E$1000,N24)))</f>
        <v/>
      </c>
      <c r="I24" s="12">
        <f>IF(N24="","",INDEX(Wires!$H$2:$H$1000,N24)&amp;"")</f>
        <v/>
      </c>
      <c r="J24" s="12">
        <f>IF(N24="","",IF(INDEX(Wires!$I$2:$I$1000,N24)="","",INDEX(Wires!$I$2:$I$1000,N24)))</f>
        <v/>
      </c>
      <c r="K24" s="12">
        <f>COUNTIF(Wires!$W$2:$W$1000,M24)+COUNTIF(Wires!$X$2:$X$1000,M24)</f>
        <v/>
      </c>
      <c r="L24" s="12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2">
        <f>A24&amp;":"&amp;B24&amp;IF(EXACT(B24,UPPER(B24)),"","|lc")</f>
        <v/>
      </c>
      <c r="N24" s="12">
        <f>IFERROR(MATCH(M24,Wires!$W$2:$W$1000,0),IFERROR(MATCH(M24,Wires!$X$2:$X$1000,0),""))</f>
        <v/>
      </c>
      <c r="O24" s="12">
        <f>IF(N24="","",IF(ISNUMBER(MATCH(M24,Wires!$W$2:$W$1000,0)),"from","to"))</f>
        <v/>
      </c>
    </row>
    <row r="25">
      <c r="A25" s="10" t="inlineStr">
        <is>
          <t>INVERTER L2</t>
        </is>
      </c>
      <c r="B25" s="10" t="inlineStr">
        <is>
          <t>7</t>
        </is>
      </c>
      <c r="C25" s="10" t="n"/>
      <c r="D25" s="10" t="n"/>
      <c r="E25" s="10" t="n"/>
      <c r="F25" s="12">
        <f>IF(N25="","",INDEX(Wires!$A$2:$A$1000,N25))</f>
        <v/>
      </c>
      <c r="G25" s="12">
        <f>IF(N25="","",INDEX(Wires!$C$2:$C$1000,N25))</f>
        <v/>
      </c>
      <c r="H25" s="12">
        <f>IF(N25="","",IF(O25="from",INDEX(Wires!$F$2:$F$1000,N25)&amp;":"&amp;INDEX(Wires!$G$2:$G$1000,N25),INDEX(Wires!$D$2:$D$1000,N25)&amp;":"&amp;INDEX(Wires!$E$2:$E$1000,N25)))</f>
        <v/>
      </c>
      <c r="I25" s="12">
        <f>IF(N25="","",INDEX(Wires!$H$2:$H$1000,N25)&amp;"")</f>
        <v/>
      </c>
      <c r="J25" s="12">
        <f>IF(N25="","",IF(INDEX(Wires!$I$2:$I$1000,N25)="","",INDEX(Wires!$I$2:$I$1000,N25)))</f>
        <v/>
      </c>
      <c r="K25" s="12">
        <f>COUNTIF(Wires!$W$2:$W$1000,M25)+COUNTIF(Wires!$X$2:$X$1000,M25)</f>
        <v/>
      </c>
      <c r="L25" s="12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2">
        <f>A25&amp;":"&amp;B25&amp;IF(EXACT(B25,UPPER(B25)),"","|lc")</f>
        <v/>
      </c>
      <c r="N25" s="12">
        <f>IFERROR(MATCH(M25,Wires!$W$2:$W$1000,0),IFERROR(MATCH(M25,Wires!$X$2:$X$1000,0),""))</f>
        <v/>
      </c>
      <c r="O25" s="12">
        <f>IF(N25="","",IF(ISNUMBER(MATCH(M25,Wires!$W$2:$W$1000,0)),"from","to"))</f>
        <v/>
      </c>
    </row>
    <row r="26">
      <c r="A26" s="10" t="inlineStr">
        <is>
          <t>INVERTER L2</t>
        </is>
      </c>
      <c r="B26" s="10" t="inlineStr">
        <is>
          <t>8</t>
        </is>
      </c>
      <c r="C26" s="10" t="n"/>
      <c r="D26" s="10" t="n"/>
      <c r="E26" s="10" t="n"/>
      <c r="F26" s="12">
        <f>IF(N26="","",INDEX(Wires!$A$2:$A$1000,N26))</f>
        <v/>
      </c>
      <c r="G26" s="12">
        <f>IF(N26="","",INDEX(Wires!$C$2:$C$1000,N26))</f>
        <v/>
      </c>
      <c r="H26" s="12">
        <f>IF(N26="","",IF(O26="from",INDEX(Wires!$F$2:$F$1000,N26)&amp;":"&amp;INDEX(Wires!$G$2:$G$1000,N26),INDEX(Wires!$D$2:$D$1000,N26)&amp;":"&amp;INDEX(Wires!$E$2:$E$1000,N26)))</f>
        <v/>
      </c>
      <c r="I26" s="12">
        <f>IF(N26="","",INDEX(Wires!$H$2:$H$1000,N26)&amp;"")</f>
        <v/>
      </c>
      <c r="J26" s="12">
        <f>IF(N26="","",IF(INDEX(Wires!$I$2:$I$1000,N26)="","",INDEX(Wires!$I$2:$I$1000,N26)))</f>
        <v/>
      </c>
      <c r="K26" s="12">
        <f>COUNTIF(Wires!$W$2:$W$1000,M26)+COUNTIF(Wires!$X$2:$X$1000,M26)</f>
        <v/>
      </c>
      <c r="L26" s="12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2">
        <f>A26&amp;":"&amp;B26&amp;IF(EXACT(B26,UPPER(B26)),"","|lc")</f>
        <v/>
      </c>
      <c r="N26" s="12">
        <f>IFERROR(MATCH(M26,Wires!$W$2:$W$1000,0),IFERROR(MATCH(M26,Wires!$X$2:$X$1000,0),""))</f>
        <v/>
      </c>
      <c r="O26" s="12">
        <f>IF(N26="","",IF(ISNUMBER(MATCH(M26,Wires!$W$2:$W$1000,0)),"from","to"))</f>
        <v/>
      </c>
    </row>
    <row r="27">
      <c r="A27" s="10" t="inlineStr">
        <is>
          <t>INVERTER L2</t>
        </is>
      </c>
      <c r="B27" s="10" t="inlineStr">
        <is>
          <t>9</t>
        </is>
      </c>
      <c r="C27" s="10" t="n"/>
      <c r="D27" s="10" t="n"/>
      <c r="E27" s="10" t="n"/>
      <c r="F27" s="12">
        <f>IF(N27="","",INDEX(Wires!$A$2:$A$1000,N27))</f>
        <v/>
      </c>
      <c r="G27" s="12">
        <f>IF(N27="","",INDEX(Wires!$C$2:$C$1000,N27))</f>
        <v/>
      </c>
      <c r="H27" s="12">
        <f>IF(N27="","",IF(O27="from",INDEX(Wires!$F$2:$F$1000,N27)&amp;":"&amp;INDEX(Wires!$G$2:$G$1000,N27),INDEX(Wires!$D$2:$D$1000,N27)&amp;":"&amp;INDEX(Wires!$E$2:$E$1000,N27)))</f>
        <v/>
      </c>
      <c r="I27" s="12">
        <f>IF(N27="","",INDEX(Wires!$H$2:$H$1000,N27)&amp;"")</f>
        <v/>
      </c>
      <c r="J27" s="12">
        <f>IF(N27="","",IF(INDEX(Wires!$I$2:$I$1000,N27)="","",INDEX(Wires!$I$2:$I$1000,N27)))</f>
        <v/>
      </c>
      <c r="K27" s="12">
        <f>COUNTIF(Wires!$W$2:$W$1000,M27)+COUNTIF(Wires!$X$2:$X$1000,M27)</f>
        <v/>
      </c>
      <c r="L27" s="12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2">
        <f>A27&amp;":"&amp;B27&amp;IF(EXACT(B27,UPPER(B27)),"","|lc")</f>
        <v/>
      </c>
      <c r="N27" s="12">
        <f>IFERROR(MATCH(M27,Wires!$W$2:$W$1000,0),IFERROR(MATCH(M27,Wires!$X$2:$X$1000,0),""))</f>
        <v/>
      </c>
      <c r="O27" s="12">
        <f>IF(N27="","",IF(ISNUMBER(MATCH(M27,Wires!$W$2:$W$1000,0)),"from","to"))</f>
        <v/>
      </c>
    </row>
    <row r="28">
      <c r="A28" s="10" t="inlineStr">
        <is>
          <t>INVERTER L2</t>
        </is>
      </c>
      <c r="B28" s="10" t="inlineStr">
        <is>
          <t>10</t>
        </is>
      </c>
      <c r="C28" s="10" t="n"/>
      <c r="D28" s="10" t="n"/>
      <c r="E28" s="10" t="n"/>
      <c r="F28" s="12">
        <f>IF(N28="","",INDEX(Wires!$A$2:$A$1000,N28))</f>
        <v/>
      </c>
      <c r="G28" s="12">
        <f>IF(N28="","",INDEX(Wires!$C$2:$C$1000,N28))</f>
        <v/>
      </c>
      <c r="H28" s="12">
        <f>IF(N28="","",IF(O28="from",INDEX(Wires!$F$2:$F$1000,N28)&amp;":"&amp;INDEX(Wires!$G$2:$G$1000,N28),INDEX(Wires!$D$2:$D$1000,N28)&amp;":"&amp;INDEX(Wires!$E$2:$E$1000,N28)))</f>
        <v/>
      </c>
      <c r="I28" s="12">
        <f>IF(N28="","",INDEX(Wires!$H$2:$H$1000,N28)&amp;"")</f>
        <v/>
      </c>
      <c r="J28" s="12">
        <f>IF(N28="","",IF(INDEX(Wires!$I$2:$I$1000,N28)="","",INDEX(Wires!$I$2:$I$1000,N28)))</f>
        <v/>
      </c>
      <c r="K28" s="12">
        <f>COUNTIF(Wires!$W$2:$W$1000,M28)+COUNTIF(Wires!$X$2:$X$1000,M28)</f>
        <v/>
      </c>
      <c r="L28" s="12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2">
        <f>A28&amp;":"&amp;B28&amp;IF(EXACT(B28,UPPER(B28)),"","|lc")</f>
        <v/>
      </c>
      <c r="N28" s="12">
        <f>IFERROR(MATCH(M28,Wires!$W$2:$W$1000,0),IFERROR(MATCH(M28,Wires!$X$2:$X$1000,0),""))</f>
        <v/>
      </c>
      <c r="O28" s="12">
        <f>IF(N28="","",IF(ISNUMBER(MATCH(M28,Wires!$W$2:$W$1000,0)),"from","to"))</f>
        <v/>
      </c>
    </row>
    <row r="29">
      <c r="A29" s="10" t="inlineStr">
        <is>
          <t>INVERTER L2</t>
        </is>
      </c>
      <c r="B29" s="10" t="inlineStr">
        <is>
          <t>11</t>
        </is>
      </c>
      <c r="C29" s="10" t="n"/>
      <c r="D29" s="10" t="n"/>
      <c r="E29" s="10" t="n"/>
      <c r="F29" s="12">
        <f>IF(N29="","",INDEX(Wires!$A$2:$A$1000,N29))</f>
        <v/>
      </c>
      <c r="G29" s="12">
        <f>IF(N29="","",INDEX(Wires!$C$2:$C$1000,N29))</f>
        <v/>
      </c>
      <c r="H29" s="12">
        <f>IF(N29="","",IF(O29="from",INDEX(Wires!$F$2:$F$1000,N29)&amp;":"&amp;INDEX(Wires!$G$2:$G$1000,N29),INDEX(Wires!$D$2:$D$1000,N29)&amp;":"&amp;INDEX(Wires!$E$2:$E$1000,N29)))</f>
        <v/>
      </c>
      <c r="I29" s="12">
        <f>IF(N29="","",INDEX(Wires!$H$2:$H$1000,N29)&amp;"")</f>
        <v/>
      </c>
      <c r="J29" s="12">
        <f>IF(N29="","",IF(INDEX(Wires!$I$2:$I$1000,N29)="","",INDEX(Wires!$I$2:$I$1000,N29)))</f>
        <v/>
      </c>
      <c r="K29" s="12">
        <f>COUNTIF(Wires!$W$2:$W$1000,M29)+COUNTIF(Wires!$X$2:$X$1000,M29)</f>
        <v/>
      </c>
      <c r="L29" s="12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2">
        <f>A29&amp;":"&amp;B29&amp;IF(EXACT(B29,UPPER(B29)),"","|lc")</f>
        <v/>
      </c>
      <c r="N29" s="12">
        <f>IFERROR(MATCH(M29,Wires!$W$2:$W$1000,0),IFERROR(MATCH(M29,Wires!$X$2:$X$1000,0),""))</f>
        <v/>
      </c>
      <c r="O29" s="12">
        <f>IF(N29="","",IF(ISNUMBER(MATCH(M29,Wires!$W$2:$W$1000,0)),"from","to"))</f>
        <v/>
      </c>
    </row>
    <row r="30">
      <c r="A30" s="10" t="inlineStr">
        <is>
          <t>INVERTER L2</t>
        </is>
      </c>
      <c r="B30" s="10" t="inlineStr">
        <is>
          <t>12</t>
        </is>
      </c>
      <c r="C30" s="10" t="n"/>
      <c r="D30" s="10" t="n"/>
      <c r="E30" s="10" t="n"/>
      <c r="F30" s="12">
        <f>IF(N30="","",INDEX(Wires!$A$2:$A$1000,N30))</f>
        <v/>
      </c>
      <c r="G30" s="12">
        <f>IF(N30="","",INDEX(Wires!$C$2:$C$1000,N30))</f>
        <v/>
      </c>
      <c r="H30" s="12">
        <f>IF(N30="","",IF(O30="from",INDEX(Wires!$F$2:$F$1000,N30)&amp;":"&amp;INDEX(Wires!$G$2:$G$1000,N30),INDEX(Wires!$D$2:$D$1000,N30)&amp;":"&amp;INDEX(Wires!$E$2:$E$1000,N30)))</f>
        <v/>
      </c>
      <c r="I30" s="12">
        <f>IF(N30="","",INDEX(Wires!$H$2:$H$1000,N30)&amp;"")</f>
        <v/>
      </c>
      <c r="J30" s="12">
        <f>IF(N30="","",IF(INDEX(Wires!$I$2:$I$1000,N30)="","",INDEX(Wires!$I$2:$I$1000,N30)))</f>
        <v/>
      </c>
      <c r="K30" s="12">
        <f>COUNTIF(Wires!$W$2:$W$1000,M30)+COUNTIF(Wires!$X$2:$X$1000,M30)</f>
        <v/>
      </c>
      <c r="L30" s="12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2">
        <f>A30&amp;":"&amp;B30&amp;IF(EXACT(B30,UPPER(B30)),"","|lc")</f>
        <v/>
      </c>
      <c r="N30" s="12">
        <f>IFERROR(MATCH(M30,Wires!$W$2:$W$1000,0),IFERROR(MATCH(M30,Wires!$X$2:$X$1000,0),""))</f>
        <v/>
      </c>
      <c r="O30" s="12">
        <f>IF(N30="","",IF(ISNUMBER(MATCH(M30,Wires!$W$2:$W$1000,0)),"from","to"))</f>
        <v/>
      </c>
    </row>
    <row r="31">
      <c r="A31" s="10" t="inlineStr">
        <is>
          <t>JBOX J1</t>
        </is>
      </c>
      <c r="B31" s="10" t="inlineStr">
        <is>
          <t>A</t>
        </is>
      </c>
      <c r="C31" s="10" t="inlineStr">
        <is>
          <t>24V</t>
        </is>
      </c>
      <c r="D31" s="10" t="n"/>
      <c r="E31" s="10" t="n"/>
      <c r="F31" s="12">
        <f>IF(N31="","",INDEX(Wires!$A$2:$A$1000,N31))</f>
        <v/>
      </c>
      <c r="G31" s="12">
        <f>IF(N31="","",INDEX(Wires!$C$2:$C$1000,N31))</f>
        <v/>
      </c>
      <c r="H31" s="12">
        <f>IF(N31="","",IF(O31="from",INDEX(Wires!$F$2:$F$1000,N31)&amp;":"&amp;INDEX(Wires!$G$2:$G$1000,N31),INDEX(Wires!$D$2:$D$1000,N31)&amp;":"&amp;INDEX(Wires!$E$2:$E$1000,N31)))</f>
        <v/>
      </c>
      <c r="I31" s="12">
        <f>IF(N31="","",INDEX(Wires!$H$2:$H$1000,N31)&amp;"")</f>
        <v/>
      </c>
      <c r="J31" s="12">
        <f>IF(N31="","",IF(INDEX(Wires!$I$2:$I$1000,N31)="","",INDEX(Wires!$I$2:$I$1000,N31)))</f>
        <v/>
      </c>
      <c r="K31" s="12">
        <f>COUNTIF(Wires!$W$2:$W$1000,M31)+COUNTIF(Wires!$X$2:$X$1000,M31)</f>
        <v/>
      </c>
      <c r="L31" s="12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2">
        <f>A31&amp;":"&amp;B31&amp;IF(EXACT(B31,UPPER(B31)),"","|lc")</f>
        <v/>
      </c>
      <c r="N31" s="12">
        <f>IFERROR(MATCH(M31,Wires!$W$2:$W$1000,0),IFERROR(MATCH(M31,Wires!$X$2:$X$1000,0),""))</f>
        <v/>
      </c>
      <c r="O31" s="12">
        <f>IF(N31="","",IF(ISNUMBER(MATCH(M31,Wires!$W$2:$W$1000,0)),"from","to"))</f>
        <v/>
      </c>
    </row>
    <row r="32">
      <c r="A32" s="10" t="inlineStr">
        <is>
          <t>JBOX J1</t>
        </is>
      </c>
      <c r="B32" s="10" t="inlineStr">
        <is>
          <t>B</t>
        </is>
      </c>
      <c r="C32" s="10" t="inlineStr">
        <is>
          <t>GND</t>
        </is>
      </c>
      <c r="D32" s="10" t="n"/>
      <c r="E32" s="10" t="n"/>
      <c r="F32" s="12">
        <f>IF(N32="","",INDEX(Wires!$A$2:$A$1000,N32))</f>
        <v/>
      </c>
      <c r="G32" s="12">
        <f>IF(N32="","",INDEX(Wires!$C$2:$C$1000,N32))</f>
        <v/>
      </c>
      <c r="H32" s="12">
        <f>IF(N32="","",IF(O32="from",INDEX(Wires!$F$2:$F$1000,N32)&amp;":"&amp;INDEX(Wires!$G$2:$G$1000,N32),INDEX(Wires!$D$2:$D$1000,N32)&amp;":"&amp;INDEX(Wires!$E$2:$E$1000,N32)))</f>
        <v/>
      </c>
      <c r="I32" s="12">
        <f>IF(N32="","",INDEX(Wires!$H$2:$H$1000,N32)&amp;"")</f>
        <v/>
      </c>
      <c r="J32" s="12">
        <f>IF(N32="","",IF(INDEX(Wires!$I$2:$I$1000,N32)="","",INDEX(Wires!$I$2:$I$1000,N32)))</f>
        <v/>
      </c>
      <c r="K32" s="12">
        <f>COUNTIF(Wires!$W$2:$W$1000,M32)+COUNTIF(Wires!$X$2:$X$1000,M32)</f>
        <v/>
      </c>
      <c r="L32" s="12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2">
        <f>A32&amp;":"&amp;B32&amp;IF(EXACT(B32,UPPER(B32)),"","|lc")</f>
        <v/>
      </c>
      <c r="N32" s="12">
        <f>IFERROR(MATCH(M32,Wires!$W$2:$W$1000,0),IFERROR(MATCH(M32,Wires!$X$2:$X$1000,0),""))</f>
        <v/>
      </c>
      <c r="O32" s="12">
        <f>IF(N32="","",IF(ISNUMBER(MATCH(M32,Wires!$W$2:$W$1000,0)),"from","to"))</f>
        <v/>
      </c>
    </row>
    <row r="33">
      <c r="A33" s="10" t="inlineStr">
        <is>
          <t>JBOX J1</t>
        </is>
      </c>
      <c r="B33" s="10" t="inlineStr">
        <is>
          <t>C</t>
        </is>
      </c>
      <c r="C33" s="10" t="inlineStr">
        <is>
          <t>Discharge GND</t>
        </is>
      </c>
      <c r="D33" s="10" t="n"/>
      <c r="E33" s="10" t="n"/>
      <c r="F33" s="12">
        <f>IF(N33="","",INDEX(Wires!$A$2:$A$1000,N33))</f>
        <v/>
      </c>
      <c r="G33" s="12">
        <f>IF(N33="","",INDEX(Wires!$C$2:$C$1000,N33))</f>
        <v/>
      </c>
      <c r="H33" s="12">
        <f>IF(N33="","",IF(O33="from",INDEX(Wires!$F$2:$F$1000,N33)&amp;":"&amp;INDEX(Wires!$G$2:$G$1000,N33),INDEX(Wires!$D$2:$D$1000,N33)&amp;":"&amp;INDEX(Wires!$E$2:$E$1000,N33)))</f>
        <v/>
      </c>
      <c r="I33" s="12">
        <f>IF(N33="","",INDEX(Wires!$H$2:$H$1000,N33)&amp;"")</f>
        <v/>
      </c>
      <c r="J33" s="12">
        <f>IF(N33="","",IF(INDEX(Wires!$I$2:$I$1000,N33)="","",INDEX(Wires!$I$2:$I$1000,N33)))</f>
        <v/>
      </c>
      <c r="K33" s="12">
        <f>COUNTIF(Wires!$W$2:$W$1000,M33)+COUNTIF(Wires!$X$2:$X$1000,M33)</f>
        <v/>
      </c>
      <c r="L33" s="12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2">
        <f>A33&amp;":"&amp;B33&amp;IF(EXACT(B33,UPPER(B33)),"","|lc")</f>
        <v/>
      </c>
      <c r="N33" s="12">
        <f>IFERROR(MATCH(M33,Wires!$W$2:$W$1000,0),IFERROR(MATCH(M33,Wires!$X$2:$X$1000,0),""))</f>
        <v/>
      </c>
      <c r="O33" s="12">
        <f>IF(N33="","",IF(ISNUMBER(MATCH(M33,Wires!$W$2:$W$1000,0)),"from","to"))</f>
        <v/>
      </c>
    </row>
    <row r="34">
      <c r="A34" s="10" t="inlineStr">
        <is>
          <t>JBOX J1</t>
        </is>
      </c>
      <c r="B34" s="10" t="inlineStr">
        <is>
          <t>D</t>
        </is>
      </c>
      <c r="C34" s="10" t="inlineStr">
        <is>
          <t>Shutdown Circuit (supply contactors)</t>
        </is>
      </c>
      <c r="D34" s="10" t="n"/>
      <c r="E34" s="10" t="n"/>
      <c r="F34" s="12">
        <f>IF(N34="","",INDEX(Wires!$A$2:$A$1000,N34))</f>
        <v/>
      </c>
      <c r="G34" s="12">
        <f>IF(N34="","",INDEX(Wires!$C$2:$C$1000,N34))</f>
        <v/>
      </c>
      <c r="H34" s="12">
        <f>IF(N34="","",IF(O34="from",INDEX(Wires!$F$2:$F$1000,N34)&amp;":"&amp;INDEX(Wires!$G$2:$G$1000,N34),INDEX(Wires!$D$2:$D$1000,N34)&amp;":"&amp;INDEX(Wires!$E$2:$E$1000,N34)))</f>
        <v/>
      </c>
      <c r="I34" s="12">
        <f>IF(N34="","",INDEX(Wires!$H$2:$H$1000,N34)&amp;"")</f>
        <v/>
      </c>
      <c r="J34" s="12">
        <f>IF(N34="","",IF(INDEX(Wires!$I$2:$I$1000,N34)="","",INDEX(Wires!$I$2:$I$1000,N34)))</f>
        <v/>
      </c>
      <c r="K34" s="12">
        <f>COUNTIF(Wires!$W$2:$W$1000,M34)+COUNTIF(Wires!$X$2:$X$1000,M34)</f>
        <v/>
      </c>
      <c r="L34" s="12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2">
        <f>A34&amp;":"&amp;B34&amp;IF(EXACT(B34,UPPER(B34)),"","|lc")</f>
        <v/>
      </c>
      <c r="N34" s="12">
        <f>IFERROR(MATCH(M34,Wires!$W$2:$W$1000,0),IFERROR(MATCH(M34,Wires!$X$2:$X$1000,0),""))</f>
        <v/>
      </c>
      <c r="O34" s="12">
        <f>IF(N34="","",IF(ISNUMBER(MATCH(M34,Wires!$W$2:$W$1000,0)),"from","to"))</f>
        <v/>
      </c>
    </row>
    <row r="35">
      <c r="A35" s="10" t="inlineStr">
        <is>
          <t>JBOX J1</t>
        </is>
      </c>
      <c r="B35" s="10" t="inlineStr">
        <is>
          <t>E</t>
        </is>
      </c>
      <c r="C35" s="10" t="inlineStr">
        <is>
          <t>TSAL Red 1</t>
        </is>
      </c>
      <c r="D35" s="10" t="n"/>
      <c r="E35" s="10" t="n"/>
      <c r="F35" s="12">
        <f>IF(N35="","",INDEX(Wires!$A$2:$A$1000,N35))</f>
        <v/>
      </c>
      <c r="G35" s="12">
        <f>IF(N35="","",INDEX(Wires!$C$2:$C$1000,N35))</f>
        <v/>
      </c>
      <c r="H35" s="12">
        <f>IF(N35="","",IF(O35="from",INDEX(Wires!$F$2:$F$1000,N35)&amp;":"&amp;INDEX(Wires!$G$2:$G$1000,N35),INDEX(Wires!$D$2:$D$1000,N35)&amp;":"&amp;INDEX(Wires!$E$2:$E$1000,N35)))</f>
        <v/>
      </c>
      <c r="I35" s="12">
        <f>IF(N35="","",INDEX(Wires!$H$2:$H$1000,N35)&amp;"")</f>
        <v/>
      </c>
      <c r="J35" s="12">
        <f>IF(N35="","",IF(INDEX(Wires!$I$2:$I$1000,N35)="","",INDEX(Wires!$I$2:$I$1000,N35)))</f>
        <v/>
      </c>
      <c r="K35" s="12">
        <f>COUNTIF(Wires!$W$2:$W$1000,M35)+COUNTIF(Wires!$X$2:$X$1000,M35)</f>
        <v/>
      </c>
      <c r="L35" s="12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2">
        <f>A35&amp;":"&amp;B35&amp;IF(EXACT(B35,UPPER(B35)),"","|lc")</f>
        <v/>
      </c>
      <c r="N35" s="12">
        <f>IFERROR(MATCH(M35,Wires!$W$2:$W$1000,0),IFERROR(MATCH(M35,Wires!$X$2:$X$1000,0),""))</f>
        <v/>
      </c>
      <c r="O35" s="12">
        <f>IF(N35="","",IF(ISNUMBER(MATCH(M35,Wires!$W$2:$W$1000,0)),"from","to"))</f>
        <v/>
      </c>
    </row>
    <row r="36">
      <c r="A36" s="10" t="inlineStr">
        <is>
          <t>JBOX J1</t>
        </is>
      </c>
      <c r="B36" s="10" t="inlineStr">
        <is>
          <t>F</t>
        </is>
      </c>
      <c r="C36" s="10" t="inlineStr">
        <is>
          <t>TSAL Red 2</t>
        </is>
      </c>
      <c r="D36" s="10" t="n"/>
      <c r="E36" s="10" t="n"/>
      <c r="F36" s="12">
        <f>IF(N36="","",INDEX(Wires!$A$2:$A$1000,N36))</f>
        <v/>
      </c>
      <c r="G36" s="12">
        <f>IF(N36="","",INDEX(Wires!$C$2:$C$1000,N36))</f>
        <v/>
      </c>
      <c r="H36" s="12">
        <f>IF(N36="","",IF(O36="from",INDEX(Wires!$F$2:$F$1000,N36)&amp;":"&amp;INDEX(Wires!$G$2:$G$1000,N36),INDEX(Wires!$D$2:$D$1000,N36)&amp;":"&amp;INDEX(Wires!$E$2:$E$1000,N36)))</f>
        <v/>
      </c>
      <c r="I36" s="12">
        <f>IF(N36="","",INDEX(Wires!$H$2:$H$1000,N36)&amp;"")</f>
        <v/>
      </c>
      <c r="J36" s="12">
        <f>IF(N36="","",IF(INDEX(Wires!$I$2:$I$1000,N36)="","",INDEX(Wires!$I$2:$I$1000,N36)))</f>
        <v/>
      </c>
      <c r="K36" s="12">
        <f>COUNTIF(Wires!$W$2:$W$1000,M36)+COUNTIF(Wires!$X$2:$X$1000,M36)</f>
        <v/>
      </c>
      <c r="L36" s="12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2">
        <f>A36&amp;":"&amp;B36&amp;IF(EXACT(B36,UPPER(B36)),"","|lc")</f>
        <v/>
      </c>
      <c r="N36" s="12">
        <f>IFERROR(MATCH(M36,Wires!$W$2:$W$1000,0),IFERROR(MATCH(M36,Wires!$X$2:$X$1000,0),""))</f>
        <v/>
      </c>
      <c r="O36" s="12">
        <f>IF(N36="","",IF(ISNUMBER(MATCH(M36,Wires!$W$2:$W$1000,0)),"from","to"))</f>
        <v/>
      </c>
    </row>
    <row r="37">
      <c r="A37" s="10" t="inlineStr">
        <is>
          <t>JBOX J1</t>
        </is>
      </c>
      <c r="B37" s="10" t="inlineStr">
        <is>
          <t>G</t>
        </is>
      </c>
      <c r="C37" s="10" t="inlineStr">
        <is>
          <t>24V Sensor Corrente BSPD</t>
        </is>
      </c>
      <c r="D37" s="10" t="n"/>
      <c r="E37" s="10" t="n"/>
      <c r="F37" s="12">
        <f>IF(N37="","",INDEX(Wires!$A$2:$A$1000,N37))</f>
        <v/>
      </c>
      <c r="G37" s="12">
        <f>IF(N37="","",INDEX(Wires!$C$2:$C$1000,N37))</f>
        <v/>
      </c>
      <c r="H37" s="12">
        <f>IF(N37="","",IF(O37="from",INDEX(Wires!$F$2:$F$1000,N37)&amp;":"&amp;INDEX(Wires!$G$2:$G$1000,N37),INDEX(Wires!$D$2:$D$1000,N37)&amp;":"&amp;INDEX(Wires!$E$2:$E$1000,N37)))</f>
        <v/>
      </c>
      <c r="I37" s="12">
        <f>IF(N37="","",INDEX(Wires!$H$2:$H$1000,N37)&amp;"")</f>
        <v/>
      </c>
      <c r="J37" s="12">
        <f>IF(N37="","",IF(INDEX(Wires!$I$2:$I$1000,N37)="","",INDEX(Wires!$I$2:$I$1000,N37)))</f>
        <v/>
      </c>
      <c r="K37" s="12">
        <f>COUNTIF(Wires!$W$2:$W$1000,M37)+COUNTIF(Wires!$X$2:$X$1000,M37)</f>
        <v/>
      </c>
      <c r="L37" s="12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2">
        <f>A37&amp;":"&amp;B37&amp;IF(EXACT(B37,UPPER(B37)),"","|lc")</f>
        <v/>
      </c>
      <c r="N37" s="12">
        <f>IFERROR(MATCH(M37,Wires!$W$2:$W$1000,0),IFERROR(MATCH(M37,Wires!$X$2:$X$1000,0),""))</f>
        <v/>
      </c>
      <c r="O37" s="12">
        <f>IF(N37="","",IF(ISNUMBER(MATCH(M37,Wires!$W$2:$W$1000,0)),"from","to"))</f>
        <v/>
      </c>
    </row>
    <row r="38">
      <c r="A38" s="10" t="inlineStr">
        <is>
          <t>JBOX J1</t>
        </is>
      </c>
      <c r="B38" s="10" t="inlineStr">
        <is>
          <t>H</t>
        </is>
      </c>
      <c r="C38" s="10" t="inlineStr">
        <is>
          <t>Sinal Sensor Corrente BSPD</t>
        </is>
      </c>
      <c r="D38" s="10" t="n"/>
      <c r="E38" s="10" t="n"/>
      <c r="F38" s="12">
        <f>IF(N38="","",INDEX(Wires!$A$2:$A$1000,N38))</f>
        <v/>
      </c>
      <c r="G38" s="12">
        <f>IF(N38="","",INDEX(Wires!$C$2:$C$1000,N38))</f>
        <v/>
      </c>
      <c r="H38" s="12">
        <f>IF(N38="","",IF(O38="from",INDEX(Wires!$F$2:$F$1000,N38)&amp;":"&amp;INDEX(Wires!$G$2:$G$1000,N38),INDEX(Wires!$D$2:$D$1000,N38)&amp;":"&amp;INDEX(Wires!$E$2:$E$1000,N38)))</f>
        <v/>
      </c>
      <c r="I38" s="12">
        <f>IF(N38="","",INDEX(Wires!$H$2:$H$1000,N38)&amp;"")</f>
        <v/>
      </c>
      <c r="J38" s="12">
        <f>IF(N38="","",IF(INDEX(Wires!$I$2:$I$1000,N38)="","",INDEX(Wires!$I$2:$I$1000,N38)))</f>
        <v/>
      </c>
      <c r="K38" s="12">
        <f>COUNTIF(Wires!$W$2:$W$1000,M38)+COUNTIF(Wires!$X$2:$X$1000,M38)</f>
        <v/>
      </c>
      <c r="L38" s="12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2">
        <f>A38&amp;":"&amp;B38&amp;IF(EXACT(B38,UPPER(B38)),"","|lc")</f>
        <v/>
      </c>
      <c r="N38" s="12">
        <f>IFERROR(MATCH(M38,Wires!$W$2:$W$1000,0),IFERROR(MATCH(M38,Wires!$X$2:$X$1000,0),""))</f>
        <v/>
      </c>
      <c r="O38" s="12">
        <f>IF(N38="","",IF(ISNUMBER(MATCH(M38,Wires!$W$2:$W$1000,0)),"from","to"))</f>
        <v/>
      </c>
    </row>
    <row r="39">
      <c r="A39" s="10" t="inlineStr">
        <is>
          <t>JBOX J1</t>
        </is>
      </c>
      <c r="B39" s="10" t="inlineStr">
        <is>
          <t>J</t>
        </is>
      </c>
      <c r="C39" s="10" t="inlineStr">
        <is>
          <t>GND Sensor Corrente BSPD</t>
        </is>
      </c>
      <c r="D39" s="10" t="n"/>
      <c r="E39" s="10" t="n"/>
      <c r="F39" s="12">
        <f>IF(N39="","",INDEX(Wires!$A$2:$A$1000,N39))</f>
        <v/>
      </c>
      <c r="G39" s="12">
        <f>IF(N39="","",INDEX(Wires!$C$2:$C$1000,N39))</f>
        <v/>
      </c>
      <c r="H39" s="12">
        <f>IF(N39="","",IF(O39="from",INDEX(Wires!$F$2:$F$1000,N39)&amp;":"&amp;INDEX(Wires!$G$2:$G$1000,N39),INDEX(Wires!$D$2:$D$1000,N39)&amp;":"&amp;INDEX(Wires!$E$2:$E$1000,N39)))</f>
        <v/>
      </c>
      <c r="I39" s="12">
        <f>IF(N39="","",INDEX(Wires!$H$2:$H$1000,N39)&amp;"")</f>
        <v/>
      </c>
      <c r="J39" s="12">
        <f>IF(N39="","",IF(INDEX(Wires!$I$2:$I$1000,N39)="","",INDEX(Wires!$I$2:$I$1000,N39)))</f>
        <v/>
      </c>
      <c r="K39" s="12">
        <f>COUNTIF(Wires!$W$2:$W$1000,M39)+COUNTIF(Wires!$X$2:$X$1000,M39)</f>
        <v/>
      </c>
      <c r="L39" s="12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2">
        <f>A39&amp;":"&amp;B39&amp;IF(EXACT(B39,UPPER(B39)),"","|lc")</f>
        <v/>
      </c>
      <c r="N39" s="12">
        <f>IFERROR(MATCH(M39,Wires!$W$2:$W$1000,0),IFERROR(MATCH(M39,Wires!$X$2:$X$1000,0),""))</f>
        <v/>
      </c>
      <c r="O39" s="12">
        <f>IF(N39="","",IF(ISNUMBER(MATCH(M39,Wires!$W$2:$W$1000,0)),"from","to"))</f>
        <v/>
      </c>
    </row>
    <row r="40">
      <c r="A40" s="10" t="inlineStr">
        <is>
          <t>JBOX J1</t>
        </is>
      </c>
      <c r="B40" s="10" t="inlineStr">
        <is>
          <t>K</t>
        </is>
      </c>
      <c r="C40" s="10" t="inlineStr">
        <is>
          <t>PWR CAN low</t>
        </is>
      </c>
      <c r="D40" s="10" t="n"/>
      <c r="E40" s="10" t="n"/>
      <c r="F40" s="12">
        <f>IF(N40="","",INDEX(Wires!$A$2:$A$1000,N40))</f>
        <v/>
      </c>
      <c r="G40" s="12">
        <f>IF(N40="","",INDEX(Wires!$C$2:$C$1000,N40))</f>
        <v/>
      </c>
      <c r="H40" s="12">
        <f>IF(N40="","",IF(O40="from",INDEX(Wires!$F$2:$F$1000,N40)&amp;":"&amp;INDEX(Wires!$G$2:$G$1000,N40),INDEX(Wires!$D$2:$D$1000,N40)&amp;":"&amp;INDEX(Wires!$E$2:$E$1000,N40)))</f>
        <v/>
      </c>
      <c r="I40" s="12">
        <f>IF(N40="","",INDEX(Wires!$H$2:$H$1000,N40)&amp;"")</f>
        <v/>
      </c>
      <c r="J40" s="12">
        <f>IF(N40="","",IF(INDEX(Wires!$I$2:$I$1000,N40)="","",INDEX(Wires!$I$2:$I$1000,N40)))</f>
        <v/>
      </c>
      <c r="K40" s="12">
        <f>COUNTIF(Wires!$W$2:$W$1000,M40)+COUNTIF(Wires!$X$2:$X$1000,M40)</f>
        <v/>
      </c>
      <c r="L40" s="12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2">
        <f>A40&amp;":"&amp;B40&amp;IF(EXACT(B40,UPPER(B40)),"","|lc")</f>
        <v/>
      </c>
      <c r="N40" s="12">
        <f>IFERROR(MATCH(M40,Wires!$W$2:$W$1000,0),IFERROR(MATCH(M40,Wires!$X$2:$X$1000,0),""))</f>
        <v/>
      </c>
      <c r="O40" s="12">
        <f>IF(N40="","",IF(ISNUMBER(MATCH(M40,Wires!$W$2:$W$1000,0)),"from","to"))</f>
        <v/>
      </c>
    </row>
    <row r="41">
      <c r="A41" s="10" t="inlineStr">
        <is>
          <t>JBOX J1</t>
        </is>
      </c>
      <c r="B41" s="10" t="inlineStr">
        <is>
          <t>L</t>
        </is>
      </c>
      <c r="C41" s="10" t="inlineStr">
        <is>
          <t>PWR CAN High</t>
        </is>
      </c>
      <c r="D41" s="10" t="n"/>
      <c r="E41" s="10" t="n"/>
      <c r="F41" s="12">
        <f>IF(N41="","",INDEX(Wires!$A$2:$A$1000,N41))</f>
        <v/>
      </c>
      <c r="G41" s="12">
        <f>IF(N41="","",INDEX(Wires!$C$2:$C$1000,N41))</f>
        <v/>
      </c>
      <c r="H41" s="12">
        <f>IF(N41="","",IF(O41="from",INDEX(Wires!$F$2:$F$1000,N41)&amp;":"&amp;INDEX(Wires!$G$2:$G$1000,N41),INDEX(Wires!$D$2:$D$1000,N41)&amp;":"&amp;INDEX(Wires!$E$2:$E$1000,N41)))</f>
        <v/>
      </c>
      <c r="I41" s="12">
        <f>IF(N41="","",INDEX(Wires!$H$2:$H$1000,N41)&amp;"")</f>
        <v/>
      </c>
      <c r="J41" s="12">
        <f>IF(N41="","",IF(INDEX(Wires!$I$2:$I$1000,N41)="","",INDEX(Wires!$I$2:$I$1000,N41)))</f>
        <v/>
      </c>
      <c r="K41" s="12">
        <f>COUNTIF(Wires!$W$2:$W$1000,M41)+COUNTIF(Wires!$X$2:$X$1000,M41)</f>
        <v/>
      </c>
      <c r="L41" s="12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2">
        <f>A41&amp;":"&amp;B41&amp;IF(EXACT(B41,UPPER(B41)),"","|lc")</f>
        <v/>
      </c>
      <c r="N41" s="12">
        <f>IFERROR(MATCH(M41,Wires!$W$2:$W$1000,0),IFERROR(MATCH(M41,Wires!$X$2:$X$1000,0),""))</f>
        <v/>
      </c>
      <c r="O41" s="12">
        <f>IF(N41="","",IF(ISNUMBER(MATCH(M41,Wires!$W$2:$W$1000,0)),"from","to"))</f>
        <v/>
      </c>
    </row>
    <row r="42">
      <c r="A42" s="10" t="inlineStr">
        <is>
          <t>JBOX J1</t>
        </is>
      </c>
      <c r="B42" s="10" t="inlineStr">
        <is>
          <t>M</t>
        </is>
      </c>
      <c r="C42" s="10" t="inlineStr">
        <is>
          <t>PWR CAN Shield</t>
        </is>
      </c>
      <c r="D42" s="10" t="n"/>
      <c r="E42" s="10" t="n"/>
      <c r="F42" s="12">
        <f>IF(N42="","",INDEX(Wires!$A$2:$A$1000,N42))</f>
        <v/>
      </c>
      <c r="G42" s="12">
        <f>IF(N42="","",INDEX(Wires!$C$2:$C$1000,N42))</f>
        <v/>
      </c>
      <c r="H42" s="12">
        <f>IF(N42="","",IF(O42="from",INDEX(Wires!$F$2:$F$1000,N42)&amp;":"&amp;INDEX(Wires!$G$2:$G$1000,N42),INDEX(Wires!$D$2:$D$1000,N42)&amp;":"&amp;INDEX(Wires!$E$2:$E$1000,N42)))</f>
        <v/>
      </c>
      <c r="I42" s="12">
        <f>IF(N42="","",INDEX(Wires!$H$2:$H$1000,N42)&amp;"")</f>
        <v/>
      </c>
      <c r="J42" s="12">
        <f>IF(N42="","",IF(INDEX(Wires!$I$2:$I$1000,N42)="","",INDEX(Wires!$I$2:$I$1000,N42)))</f>
        <v/>
      </c>
      <c r="K42" s="12">
        <f>COUNTIF(Wires!$W$2:$W$1000,M42)+COUNTIF(Wires!$X$2:$X$1000,M42)</f>
        <v/>
      </c>
      <c r="L42" s="12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2">
        <f>A42&amp;":"&amp;B42&amp;IF(EXACT(B42,UPPER(B42)),"","|lc")</f>
        <v/>
      </c>
      <c r="N42" s="12">
        <f>IFERROR(MATCH(M42,Wires!$W$2:$W$1000,0),IFERROR(MATCH(M42,Wires!$X$2:$X$1000,0),""))</f>
        <v/>
      </c>
      <c r="O42" s="12">
        <f>IF(N42="","",IF(ISNUMBER(MATCH(M42,Wires!$W$2:$W$1000,0)),"from","to"))</f>
        <v/>
      </c>
    </row>
    <row r="43">
      <c r="A43" s="10" t="inlineStr">
        <is>
          <t>JBOX J1</t>
        </is>
      </c>
      <c r="B43" s="10" t="inlineStr">
        <is>
          <t>N</t>
        </is>
      </c>
      <c r="C43" s="10" t="n"/>
      <c r="D43" s="10" t="n"/>
      <c r="E43" s="10" t="n"/>
      <c r="F43" s="12">
        <f>IF(N43="","",INDEX(Wires!$A$2:$A$1000,N43))</f>
        <v/>
      </c>
      <c r="G43" s="12">
        <f>IF(N43="","",INDEX(Wires!$C$2:$C$1000,N43))</f>
        <v/>
      </c>
      <c r="H43" s="12">
        <f>IF(N43="","",IF(O43="from",INDEX(Wires!$F$2:$F$1000,N43)&amp;":"&amp;INDEX(Wires!$G$2:$G$1000,N43),INDEX(Wires!$D$2:$D$1000,N43)&amp;":"&amp;INDEX(Wires!$E$2:$E$1000,N43)))</f>
        <v/>
      </c>
      <c r="I43" s="12">
        <f>IF(N43="","",INDEX(Wires!$H$2:$H$1000,N43)&amp;"")</f>
        <v/>
      </c>
      <c r="J43" s="12">
        <f>IF(N43="","",IF(INDEX(Wires!$I$2:$I$1000,N43)="","",INDEX(Wires!$I$2:$I$1000,N43)))</f>
        <v/>
      </c>
      <c r="K43" s="12">
        <f>COUNTIF(Wires!$W$2:$W$1000,M43)+COUNTIF(Wires!$X$2:$X$1000,M43)</f>
        <v/>
      </c>
      <c r="L43" s="12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2">
        <f>A43&amp;":"&amp;B43&amp;IF(EXACT(B43,UPPER(B43)),"","|lc")</f>
        <v/>
      </c>
      <c r="N43" s="12">
        <f>IFERROR(MATCH(M43,Wires!$W$2:$W$1000,0),IFERROR(MATCH(M43,Wires!$X$2:$X$1000,0),""))</f>
        <v/>
      </c>
      <c r="O43" s="12">
        <f>IF(N43="","",IF(ISNUMBER(MATCH(M43,Wires!$W$2:$W$1000,0)),"from","to"))</f>
        <v/>
      </c>
    </row>
    <row r="44">
      <c r="A44" s="10" t="inlineStr">
        <is>
          <t>JBOX J1</t>
        </is>
      </c>
      <c r="B44" s="10" t="inlineStr">
        <is>
          <t>P</t>
        </is>
      </c>
      <c r="C44" s="10" t="inlineStr">
        <is>
          <t>Shutdown in</t>
        </is>
      </c>
      <c r="D44" s="10" t="n"/>
      <c r="E44" s="10" t="n"/>
      <c r="F44" s="12">
        <f>IF(N44="","",INDEX(Wires!$A$2:$A$1000,N44))</f>
        <v/>
      </c>
      <c r="G44" s="12">
        <f>IF(N44="","",INDEX(Wires!$C$2:$C$1000,N44))</f>
        <v/>
      </c>
      <c r="H44" s="12">
        <f>IF(N44="","",IF(O44="from",INDEX(Wires!$F$2:$F$1000,N44)&amp;":"&amp;INDEX(Wires!$G$2:$G$1000,N44),INDEX(Wires!$D$2:$D$1000,N44)&amp;":"&amp;INDEX(Wires!$E$2:$E$1000,N44)))</f>
        <v/>
      </c>
      <c r="I44" s="12">
        <f>IF(N44="","",INDEX(Wires!$H$2:$H$1000,N44)&amp;"")</f>
        <v/>
      </c>
      <c r="J44" s="12">
        <f>IF(N44="","",IF(INDEX(Wires!$I$2:$I$1000,N44)="","",INDEX(Wires!$I$2:$I$1000,N44)))</f>
        <v/>
      </c>
      <c r="K44" s="12">
        <f>COUNTIF(Wires!$W$2:$W$1000,M44)+COUNTIF(Wires!$X$2:$X$1000,M44)</f>
        <v/>
      </c>
      <c r="L44" s="12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2">
        <f>A44&amp;":"&amp;B44&amp;IF(EXACT(B44,UPPER(B44)),"","|lc")</f>
        <v/>
      </c>
      <c r="N44" s="12">
        <f>IFERROR(MATCH(M44,Wires!$W$2:$W$1000,0),IFERROR(MATCH(M44,Wires!$X$2:$X$1000,0),""))</f>
        <v/>
      </c>
      <c r="O44" s="12">
        <f>IF(N44="","",IF(ISNUMBER(MATCH(M44,Wires!$W$2:$W$1000,0)),"from","to"))</f>
        <v/>
      </c>
    </row>
    <row r="45">
      <c r="A45" s="10" t="inlineStr">
        <is>
          <t>JBOX J1</t>
        </is>
      </c>
      <c r="B45" s="10" t="inlineStr">
        <is>
          <t>R</t>
        </is>
      </c>
      <c r="C45" s="10" t="inlineStr">
        <is>
          <t>Shutdown out</t>
        </is>
      </c>
      <c r="D45" s="10" t="n"/>
      <c r="E45" s="10" t="n"/>
      <c r="F45" s="12">
        <f>IF(N45="","",INDEX(Wires!$A$2:$A$1000,N45))</f>
        <v/>
      </c>
      <c r="G45" s="12">
        <f>IF(N45="","",INDEX(Wires!$C$2:$C$1000,N45))</f>
        <v/>
      </c>
      <c r="H45" s="12">
        <f>IF(N45="","",IF(O45="from",INDEX(Wires!$F$2:$F$1000,N45)&amp;":"&amp;INDEX(Wires!$G$2:$G$1000,N45),INDEX(Wires!$D$2:$D$1000,N45)&amp;":"&amp;INDEX(Wires!$E$2:$E$1000,N45)))</f>
        <v/>
      </c>
      <c r="I45" s="12">
        <f>IF(N45="","",INDEX(Wires!$H$2:$H$1000,N45)&amp;"")</f>
        <v/>
      </c>
      <c r="J45" s="12">
        <f>IF(N45="","",IF(INDEX(Wires!$I$2:$I$1000,N45)="","",INDEX(Wires!$I$2:$I$1000,N45)))</f>
        <v/>
      </c>
      <c r="K45" s="12">
        <f>COUNTIF(Wires!$W$2:$W$1000,M45)+COUNTIF(Wires!$X$2:$X$1000,M45)</f>
        <v/>
      </c>
      <c r="L45" s="12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2">
        <f>A45&amp;":"&amp;B45&amp;IF(EXACT(B45,UPPER(B45)),"","|lc")</f>
        <v/>
      </c>
      <c r="N45" s="12">
        <f>IFERROR(MATCH(M45,Wires!$W$2:$W$1000,0),IFERROR(MATCH(M45,Wires!$X$2:$X$1000,0),""))</f>
        <v/>
      </c>
      <c r="O45" s="12">
        <f>IF(N45="","",IF(ISNUMBER(MATCH(M45,Wires!$W$2:$W$1000,0)),"from","to"))</f>
        <v/>
      </c>
    </row>
    <row r="46">
      <c r="A46" s="10" t="inlineStr">
        <is>
          <t>JBOX J1</t>
        </is>
      </c>
      <c r="B46" s="10" t="inlineStr">
        <is>
          <t>S</t>
        </is>
      </c>
      <c r="C46" s="10" t="inlineStr">
        <is>
          <t>BSPD CS Test in</t>
        </is>
      </c>
      <c r="D46" s="10" t="n"/>
      <c r="E46" s="10" t="n"/>
      <c r="F46" s="12">
        <f>IF(N46="","",INDEX(Wires!$A$2:$A$1000,N46))</f>
        <v/>
      </c>
      <c r="G46" s="12">
        <f>IF(N46="","",INDEX(Wires!$C$2:$C$1000,N46))</f>
        <v/>
      </c>
      <c r="H46" s="12">
        <f>IF(N46="","",IF(O46="from",INDEX(Wires!$F$2:$F$1000,N46)&amp;":"&amp;INDEX(Wires!$G$2:$G$1000,N46),INDEX(Wires!$D$2:$D$1000,N46)&amp;":"&amp;INDEX(Wires!$E$2:$E$1000,N46)))</f>
        <v/>
      </c>
      <c r="I46" s="12">
        <f>IF(N46="","",INDEX(Wires!$H$2:$H$1000,N46)&amp;"")</f>
        <v/>
      </c>
      <c r="J46" s="12">
        <f>IF(N46="","",IF(INDEX(Wires!$I$2:$I$1000,N46)="","",INDEX(Wires!$I$2:$I$1000,N46)))</f>
        <v/>
      </c>
      <c r="K46" s="12">
        <f>COUNTIF(Wires!$W$2:$W$1000,M46)+COUNTIF(Wires!$X$2:$X$1000,M46)</f>
        <v/>
      </c>
      <c r="L46" s="12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2">
        <f>A46&amp;":"&amp;B46&amp;IF(EXACT(B46,UPPER(B46)),"","|lc")</f>
        <v/>
      </c>
      <c r="N46" s="12">
        <f>IFERROR(MATCH(M46,Wires!$W$2:$W$1000,0),IFERROR(MATCH(M46,Wires!$X$2:$X$1000,0),""))</f>
        <v/>
      </c>
      <c r="O46" s="12">
        <f>IF(N46="","",IF(ISNUMBER(MATCH(M46,Wires!$W$2:$W$1000,0)),"from","to"))</f>
        <v/>
      </c>
    </row>
    <row r="47">
      <c r="A47" s="10" t="inlineStr">
        <is>
          <t>JBOX J1</t>
        </is>
      </c>
      <c r="B47" s="10" t="inlineStr">
        <is>
          <t>T</t>
        </is>
      </c>
      <c r="C47" s="10" t="inlineStr">
        <is>
          <t>BSPD CS Test out</t>
        </is>
      </c>
      <c r="D47" s="10" t="n"/>
      <c r="E47" s="10" t="n"/>
      <c r="F47" s="12">
        <f>IF(N47="","",INDEX(Wires!$A$2:$A$1000,N47))</f>
        <v/>
      </c>
      <c r="G47" s="12">
        <f>IF(N47="","",INDEX(Wires!$C$2:$C$1000,N47))</f>
        <v/>
      </c>
      <c r="H47" s="12">
        <f>IF(N47="","",IF(O47="from",INDEX(Wires!$F$2:$F$1000,N47)&amp;":"&amp;INDEX(Wires!$G$2:$G$1000,N47),INDEX(Wires!$D$2:$D$1000,N47)&amp;":"&amp;INDEX(Wires!$E$2:$E$1000,N47)))</f>
        <v/>
      </c>
      <c r="I47" s="12">
        <f>IF(N47="","",INDEX(Wires!$H$2:$H$1000,N47)&amp;"")</f>
        <v/>
      </c>
      <c r="J47" s="12">
        <f>IF(N47="","",IF(INDEX(Wires!$I$2:$I$1000,N47)="","",INDEX(Wires!$I$2:$I$1000,N47)))</f>
        <v/>
      </c>
      <c r="K47" s="12">
        <f>COUNTIF(Wires!$W$2:$W$1000,M47)+COUNTIF(Wires!$X$2:$X$1000,M47)</f>
        <v/>
      </c>
      <c r="L47" s="12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2">
        <f>A47&amp;":"&amp;B47&amp;IF(EXACT(B47,UPPER(B47)),"","|lc")</f>
        <v/>
      </c>
      <c r="N47" s="12">
        <f>IFERROR(MATCH(M47,Wires!$W$2:$W$1000,0),IFERROR(MATCH(M47,Wires!$X$2:$X$1000,0),""))</f>
        <v/>
      </c>
      <c r="O47" s="12">
        <f>IF(N47="","",IF(ISNUMBER(MATCH(M47,Wires!$W$2:$W$1000,0)),"from","to"))</f>
        <v/>
      </c>
    </row>
    <row r="48">
      <c r="A48" s="10" t="inlineStr">
        <is>
          <t>JBOX J1</t>
        </is>
      </c>
      <c r="B48" s="10" t="inlineStr">
        <is>
          <t>U</t>
        </is>
      </c>
      <c r="C48" s="10" t="inlineStr">
        <is>
          <t>FSG Data logger 24 V</t>
        </is>
      </c>
      <c r="D48" s="10" t="n"/>
      <c r="E48" s="10" t="n"/>
      <c r="F48" s="12">
        <f>IF(N48="","",INDEX(Wires!$A$2:$A$1000,N48))</f>
        <v/>
      </c>
      <c r="G48" s="12">
        <f>IF(N48="","",INDEX(Wires!$C$2:$C$1000,N48))</f>
        <v/>
      </c>
      <c r="H48" s="12">
        <f>IF(N48="","",IF(O48="from",INDEX(Wires!$F$2:$F$1000,N48)&amp;":"&amp;INDEX(Wires!$G$2:$G$1000,N48),INDEX(Wires!$D$2:$D$1000,N48)&amp;":"&amp;INDEX(Wires!$E$2:$E$1000,N48)))</f>
        <v/>
      </c>
      <c r="I48" s="12">
        <f>IF(N48="","",INDEX(Wires!$H$2:$H$1000,N48)&amp;"")</f>
        <v/>
      </c>
      <c r="J48" s="12">
        <f>IF(N48="","",IF(INDEX(Wires!$I$2:$I$1000,N48)="","",INDEX(Wires!$I$2:$I$1000,N48)))</f>
        <v/>
      </c>
      <c r="K48" s="12">
        <f>COUNTIF(Wires!$W$2:$W$1000,M48)+COUNTIF(Wires!$X$2:$X$1000,M48)</f>
        <v/>
      </c>
      <c r="L48" s="12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2">
        <f>A48&amp;":"&amp;B48&amp;IF(EXACT(B48,UPPER(B48)),"","|lc")</f>
        <v/>
      </c>
      <c r="N48" s="12">
        <f>IFERROR(MATCH(M48,Wires!$W$2:$W$1000,0),IFERROR(MATCH(M48,Wires!$X$2:$X$1000,0),""))</f>
        <v/>
      </c>
      <c r="O48" s="12">
        <f>IF(N48="","",IF(ISNUMBER(MATCH(M48,Wires!$W$2:$W$1000,0)),"from","to"))</f>
        <v/>
      </c>
    </row>
    <row r="49">
      <c r="A49" s="10" t="inlineStr">
        <is>
          <t>JBOX J1</t>
        </is>
      </c>
      <c r="B49" s="10" t="inlineStr">
        <is>
          <t>V</t>
        </is>
      </c>
      <c r="C49" s="10" t="inlineStr">
        <is>
          <t>FSG Data logger GND</t>
        </is>
      </c>
      <c r="D49" s="10" t="n"/>
      <c r="E49" s="10" t="n"/>
      <c r="F49" s="12">
        <f>IF(N49="","",INDEX(Wires!$A$2:$A$1000,N49))</f>
        <v/>
      </c>
      <c r="G49" s="12">
        <f>IF(N49="","",INDEX(Wires!$C$2:$C$1000,N49))</f>
        <v/>
      </c>
      <c r="H49" s="12">
        <f>IF(N49="","",IF(O49="from",INDEX(Wires!$F$2:$F$1000,N49)&amp;":"&amp;INDEX(Wires!$G$2:$G$1000,N49),INDEX(Wires!$D$2:$D$1000,N49)&amp;":"&amp;INDEX(Wires!$E$2:$E$1000,N49)))</f>
        <v/>
      </c>
      <c r="I49" s="12">
        <f>IF(N49="","",INDEX(Wires!$H$2:$H$1000,N49)&amp;"")</f>
        <v/>
      </c>
      <c r="J49" s="12">
        <f>IF(N49="","",IF(INDEX(Wires!$I$2:$I$1000,N49)="","",INDEX(Wires!$I$2:$I$1000,N49)))</f>
        <v/>
      </c>
      <c r="K49" s="12">
        <f>COUNTIF(Wires!$W$2:$W$1000,M49)+COUNTIF(Wires!$X$2:$X$1000,M49)</f>
        <v/>
      </c>
      <c r="L49" s="12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2">
        <f>A49&amp;":"&amp;B49&amp;IF(EXACT(B49,UPPER(B49)),"","|lc")</f>
        <v/>
      </c>
      <c r="N49" s="12">
        <f>IFERROR(MATCH(M49,Wires!$W$2:$W$1000,0),IFERROR(MATCH(M49,Wires!$X$2:$X$1000,0),""))</f>
        <v/>
      </c>
      <c r="O49" s="12">
        <f>IF(N49="","",IF(ISNUMBER(MATCH(M49,Wires!$W$2:$W$1000,0)),"from","to"))</f>
        <v/>
      </c>
    </row>
    <row r="50">
      <c r="A50" s="10" t="inlineStr">
        <is>
          <t>JBOX J1</t>
        </is>
      </c>
      <c r="B50" s="10" t="inlineStr">
        <is>
          <t>W</t>
        </is>
      </c>
      <c r="C50" s="10" t="inlineStr">
        <is>
          <t>AD CAN Low</t>
        </is>
      </c>
      <c r="D50" s="10" t="n"/>
      <c r="E50" s="10" t="n"/>
      <c r="F50" s="12">
        <f>IF(N50="","",INDEX(Wires!$A$2:$A$1000,N50))</f>
        <v/>
      </c>
      <c r="G50" s="12">
        <f>IF(N50="","",INDEX(Wires!$C$2:$C$1000,N50))</f>
        <v/>
      </c>
      <c r="H50" s="12">
        <f>IF(N50="","",IF(O50="from",INDEX(Wires!$F$2:$F$1000,N50)&amp;":"&amp;INDEX(Wires!$G$2:$G$1000,N50),INDEX(Wires!$D$2:$D$1000,N50)&amp;":"&amp;INDEX(Wires!$E$2:$E$1000,N50)))</f>
        <v/>
      </c>
      <c r="I50" s="12">
        <f>IF(N50="","",INDEX(Wires!$H$2:$H$1000,N50)&amp;"")</f>
        <v/>
      </c>
      <c r="J50" s="12">
        <f>IF(N50="","",IF(INDEX(Wires!$I$2:$I$1000,N50)="","",INDEX(Wires!$I$2:$I$1000,N50)))</f>
        <v/>
      </c>
      <c r="K50" s="12">
        <f>COUNTIF(Wires!$W$2:$W$1000,M50)+COUNTIF(Wires!$X$2:$X$1000,M50)</f>
        <v/>
      </c>
      <c r="L50" s="12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2">
        <f>A50&amp;":"&amp;B50&amp;IF(EXACT(B50,UPPER(B50)),"","|lc")</f>
        <v/>
      </c>
      <c r="N50" s="12">
        <f>IFERROR(MATCH(M50,Wires!$W$2:$W$1000,0),IFERROR(MATCH(M50,Wires!$X$2:$X$1000,0),""))</f>
        <v/>
      </c>
      <c r="O50" s="12">
        <f>IF(N50="","",IF(ISNUMBER(MATCH(M50,Wires!$W$2:$W$1000,0)),"from","to"))</f>
        <v/>
      </c>
    </row>
    <row r="51">
      <c r="A51" s="10" t="inlineStr">
        <is>
          <t>JBOX J1</t>
        </is>
      </c>
      <c r="B51" s="10" t="inlineStr">
        <is>
          <t>X</t>
        </is>
      </c>
      <c r="C51" s="10" t="inlineStr">
        <is>
          <t>AD CAN High</t>
        </is>
      </c>
      <c r="D51" s="10" t="n"/>
      <c r="E51" s="10" t="n"/>
      <c r="F51" s="12">
        <f>IF(N51="","",INDEX(Wires!$A$2:$A$1000,N51))</f>
        <v/>
      </c>
      <c r="G51" s="12">
        <f>IF(N51="","",INDEX(Wires!$C$2:$C$1000,N51))</f>
        <v/>
      </c>
      <c r="H51" s="12">
        <f>IF(N51="","",IF(O51="from",INDEX(Wires!$F$2:$F$1000,N51)&amp;":"&amp;INDEX(Wires!$G$2:$G$1000,N51),INDEX(Wires!$D$2:$D$1000,N51)&amp;":"&amp;INDEX(Wires!$E$2:$E$1000,N51)))</f>
        <v/>
      </c>
      <c r="I51" s="12">
        <f>IF(N51="","",INDEX(Wires!$H$2:$H$1000,N51)&amp;"")</f>
        <v/>
      </c>
      <c r="J51" s="12">
        <f>IF(N51="","",IF(INDEX(Wires!$I$2:$I$1000,N51)="","",INDEX(Wires!$I$2:$I$1000,N51)))</f>
        <v/>
      </c>
      <c r="K51" s="12">
        <f>COUNTIF(Wires!$W$2:$W$1000,M51)+COUNTIF(Wires!$X$2:$X$1000,M51)</f>
        <v/>
      </c>
      <c r="L51" s="12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2">
        <f>A51&amp;":"&amp;B51&amp;IF(EXACT(B51,UPPER(B51)),"","|lc")</f>
        <v/>
      </c>
      <c r="N51" s="12">
        <f>IFERROR(MATCH(M51,Wires!$W$2:$W$1000,0),IFERROR(MATCH(M51,Wires!$X$2:$X$1000,0),""))</f>
        <v/>
      </c>
      <c r="O51" s="12">
        <f>IF(N51="","",IF(ISNUMBER(MATCH(M51,Wires!$W$2:$W$1000,0)),"from","to"))</f>
        <v/>
      </c>
    </row>
    <row r="52">
      <c r="A52" s="10" t="inlineStr">
        <is>
          <t>JBOX J1</t>
        </is>
      </c>
      <c r="B52" s="10" t="inlineStr">
        <is>
          <t>Y</t>
        </is>
      </c>
      <c r="C52" s="10" t="inlineStr">
        <is>
          <t>AD CAN Shield</t>
        </is>
      </c>
      <c r="D52" s="10" t="n"/>
      <c r="E52" s="10" t="n"/>
      <c r="F52" s="12">
        <f>IF(N52="","",INDEX(Wires!$A$2:$A$1000,N52))</f>
        <v/>
      </c>
      <c r="G52" s="12">
        <f>IF(N52="","",INDEX(Wires!$C$2:$C$1000,N52))</f>
        <v/>
      </c>
      <c r="H52" s="12">
        <f>IF(N52="","",IF(O52="from",INDEX(Wires!$F$2:$F$1000,N52)&amp;":"&amp;INDEX(Wires!$G$2:$G$1000,N52),INDEX(Wires!$D$2:$D$1000,N52)&amp;":"&amp;INDEX(Wires!$E$2:$E$1000,N52)))</f>
        <v/>
      </c>
      <c r="I52" s="12">
        <f>IF(N52="","",INDEX(Wires!$H$2:$H$1000,N52)&amp;"")</f>
        <v/>
      </c>
      <c r="J52" s="12">
        <f>IF(N52="","",IF(INDEX(Wires!$I$2:$I$1000,N52)="","",INDEX(Wires!$I$2:$I$1000,N52)))</f>
        <v/>
      </c>
      <c r="K52" s="12">
        <f>COUNTIF(Wires!$W$2:$W$1000,M52)+COUNTIF(Wires!$X$2:$X$1000,M52)</f>
        <v/>
      </c>
      <c r="L52" s="12">
        <f>IF(AND(K52=0,C52&lt;&gt;"",D52&lt;&gt;"NC"),"pino com sinal mas sem fio; ","")&amp;IF(AND(D52="NC",K52&gt;0),"pino NC com fio; ","")&amp;IF(AND(K52&gt;1,ISERROR(MATCH(IFERROR(INDEX(Connectors!$D$2:$D$1000,MATCH(A52,Connectors!$A$2:$A$1000,0)),""),{"SPLICE","STUD"},0))),"vários fios no mesmo pino; ","")</f>
        <v/>
      </c>
      <c r="M52" s="12">
        <f>A52&amp;":"&amp;B52&amp;IF(EXACT(B52,UPPER(B52)),"","|lc")</f>
        <v/>
      </c>
      <c r="N52" s="12">
        <f>IFERROR(MATCH(M52,Wires!$W$2:$W$1000,0),IFERROR(MATCH(M52,Wires!$X$2:$X$1000,0),""))</f>
        <v/>
      </c>
      <c r="O52" s="12">
        <f>IF(N52="","",IF(ISNUMBER(MATCH(M52,Wires!$W$2:$W$1000,0)),"from","to"))</f>
        <v/>
      </c>
    </row>
    <row r="53">
      <c r="A53" s="10" t="inlineStr">
        <is>
          <t>JBOX J1</t>
        </is>
      </c>
      <c r="B53" s="10" t="inlineStr">
        <is>
          <t>Z</t>
        </is>
      </c>
      <c r="C53" s="10" t="n"/>
      <c r="D53" s="10" t="n"/>
      <c r="E53" s="10" t="n"/>
      <c r="F53" s="12">
        <f>IF(N53="","",INDEX(Wires!$A$2:$A$1000,N53))</f>
        <v/>
      </c>
      <c r="G53" s="12">
        <f>IF(N53="","",INDEX(Wires!$C$2:$C$1000,N53))</f>
        <v/>
      </c>
      <c r="H53" s="12">
        <f>IF(N53="","",IF(O53="from",INDEX(Wires!$F$2:$F$1000,N53)&amp;":"&amp;INDEX(Wires!$G$2:$G$1000,N53),INDEX(Wires!$D$2:$D$1000,N53)&amp;":"&amp;INDEX(Wires!$E$2:$E$1000,N53)))</f>
        <v/>
      </c>
      <c r="I53" s="12">
        <f>IF(N53="","",INDEX(Wires!$H$2:$H$1000,N53)&amp;"")</f>
        <v/>
      </c>
      <c r="J53" s="12">
        <f>IF(N53="","",IF(INDEX(Wires!$I$2:$I$1000,N53)="","",INDEX(Wires!$I$2:$I$1000,N53)))</f>
        <v/>
      </c>
      <c r="K53" s="12">
        <f>COUNTIF(Wires!$W$2:$W$1000,M53)+COUNTIF(Wires!$X$2:$X$1000,M53)</f>
        <v/>
      </c>
      <c r="L53" s="12">
        <f>IF(AND(K53=0,C53&lt;&gt;"",D53&lt;&gt;"NC"),"pino com sinal mas sem fio; ","")&amp;IF(AND(D53="NC",K53&gt;0),"pino NC com fio; ","")&amp;IF(AND(K53&gt;1,ISERROR(MATCH(IFERROR(INDEX(Connectors!$D$2:$D$1000,MATCH(A53,Connectors!$A$2:$A$1000,0)),""),{"SPLICE","STUD"},0))),"vários fios no mesmo pino; ","")</f>
        <v/>
      </c>
      <c r="M53" s="12">
        <f>A53&amp;":"&amp;B53&amp;IF(EXACT(B53,UPPER(B53)),"","|lc")</f>
        <v/>
      </c>
      <c r="N53" s="12">
        <f>IFERROR(MATCH(M53,Wires!$W$2:$W$1000,0),IFERROR(MATCH(M53,Wires!$X$2:$X$1000,0),""))</f>
        <v/>
      </c>
      <c r="O53" s="12">
        <f>IF(N53="","",IF(ISNUMBER(MATCH(M53,Wires!$W$2:$W$1000,0)),"from","to"))</f>
        <v/>
      </c>
    </row>
    <row r="54">
      <c r="A54" s="10" t="inlineStr">
        <is>
          <t>JBOX J1</t>
        </is>
      </c>
      <c r="B54" s="10" t="inlineStr">
        <is>
          <t>a</t>
        </is>
      </c>
      <c r="C54" s="10" t="inlineStr">
        <is>
          <t>+12V Inverter</t>
        </is>
      </c>
      <c r="D54" s="10" t="n"/>
      <c r="E54" s="10" t="inlineStr">
        <is>
          <t>12V</t>
        </is>
      </c>
      <c r="F54" s="12">
        <f>IF(N54="","",INDEX(Wires!$A$2:$A$1000,N54))</f>
        <v/>
      </c>
      <c r="G54" s="12">
        <f>IF(N54="","",INDEX(Wires!$C$2:$C$1000,N54))</f>
        <v/>
      </c>
      <c r="H54" s="12">
        <f>IF(N54="","",IF(O54="from",INDEX(Wires!$F$2:$F$1000,N54)&amp;":"&amp;INDEX(Wires!$G$2:$G$1000,N54),INDEX(Wires!$D$2:$D$1000,N54)&amp;":"&amp;INDEX(Wires!$E$2:$E$1000,N54)))</f>
        <v/>
      </c>
      <c r="I54" s="12">
        <f>IF(N54="","",INDEX(Wires!$H$2:$H$1000,N54)&amp;"")</f>
        <v/>
      </c>
      <c r="J54" s="12">
        <f>IF(N54="","",IF(INDEX(Wires!$I$2:$I$1000,N54)="","",INDEX(Wires!$I$2:$I$1000,N54)))</f>
        <v/>
      </c>
      <c r="K54" s="12">
        <f>COUNTIF(Wires!$W$2:$W$1000,M54)+COUNTIF(Wires!$X$2:$X$1000,M54)</f>
        <v/>
      </c>
      <c r="L54" s="12">
        <f>IF(AND(K54=0,C54&lt;&gt;"",D54&lt;&gt;"NC"),"pino com sinal mas sem fio; ","")&amp;IF(AND(D54="NC",K54&gt;0),"pino NC com fio; ","")&amp;IF(AND(K54&gt;1,ISERROR(MATCH(IFERROR(INDEX(Connectors!$D$2:$D$1000,MATCH(A54,Connectors!$A$2:$A$1000,0)),""),{"SPLICE","STUD"},0))),"vários fios no mesmo pino; ","")</f>
        <v/>
      </c>
      <c r="M54" s="12">
        <f>A54&amp;":"&amp;B54&amp;IF(EXACT(B54,UPPER(B54)),"","|lc")</f>
        <v/>
      </c>
      <c r="N54" s="12">
        <f>IFERROR(MATCH(M54,Wires!$W$2:$W$1000,0),IFERROR(MATCH(M54,Wires!$X$2:$X$1000,0),""))</f>
        <v/>
      </c>
      <c r="O54" s="12">
        <f>IF(N54="","",IF(ISNUMBER(MATCH(M54,Wires!$W$2:$W$1000,0)),"from","to"))</f>
        <v/>
      </c>
    </row>
    <row r="55">
      <c r="A55" s="10" t="inlineStr">
        <is>
          <t>JBOX J1</t>
        </is>
      </c>
      <c r="B55" s="10" t="inlineStr">
        <is>
          <t>b</t>
        </is>
      </c>
      <c r="C55" s="10" t="inlineStr">
        <is>
          <t>GND Inverter</t>
        </is>
      </c>
      <c r="D55" s="10" t="n"/>
      <c r="E55" s="10" t="n"/>
      <c r="F55" s="12">
        <f>IF(N55="","",INDEX(Wires!$A$2:$A$1000,N55))</f>
        <v/>
      </c>
      <c r="G55" s="12">
        <f>IF(N55="","",INDEX(Wires!$C$2:$C$1000,N55))</f>
        <v/>
      </c>
      <c r="H55" s="12">
        <f>IF(N55="","",IF(O55="from",INDEX(Wires!$F$2:$F$1000,N55)&amp;":"&amp;INDEX(Wires!$G$2:$G$1000,N55),INDEX(Wires!$D$2:$D$1000,N55)&amp;":"&amp;INDEX(Wires!$E$2:$E$1000,N55)))</f>
        <v/>
      </c>
      <c r="I55" s="12">
        <f>IF(N55="","",INDEX(Wires!$H$2:$H$1000,N55)&amp;"")</f>
        <v/>
      </c>
      <c r="J55" s="12">
        <f>IF(N55="","",IF(INDEX(Wires!$I$2:$I$1000,N55)="","",INDEX(Wires!$I$2:$I$1000,N55)))</f>
        <v/>
      </c>
      <c r="K55" s="12">
        <f>COUNTIF(Wires!$W$2:$W$1000,M55)+COUNTIF(Wires!$X$2:$X$1000,M55)</f>
        <v/>
      </c>
      <c r="L55" s="12">
        <f>IF(AND(K55=0,C55&lt;&gt;"",D55&lt;&gt;"NC"),"pino com sinal mas sem fio; ","")&amp;IF(AND(D55="NC",K55&gt;0),"pino NC com fio; ","")&amp;IF(AND(K55&gt;1,ISERROR(MATCH(IFERROR(INDEX(Connectors!$D$2:$D$1000,MATCH(A55,Connectors!$A$2:$A$1000,0)),""),{"SPLICE","STUD"},0))),"vários fios no mesmo pino; ","")</f>
        <v/>
      </c>
      <c r="M55" s="12">
        <f>A55&amp;":"&amp;B55&amp;IF(EXACT(B55,UPPER(B55)),"","|lc")</f>
        <v/>
      </c>
      <c r="N55" s="12">
        <f>IFERROR(MATCH(M55,Wires!$W$2:$W$1000,0),IFERROR(MATCH(M55,Wires!$X$2:$X$1000,0),""))</f>
        <v/>
      </c>
      <c r="O55" s="12">
        <f>IF(N55="","",IF(ISNUMBER(MATCH(M55,Wires!$W$2:$W$1000,0)),"from","to"))</f>
        <v/>
      </c>
    </row>
    <row r="56">
      <c r="A56" s="10" t="inlineStr">
        <is>
          <t>JBOX J1</t>
        </is>
      </c>
      <c r="B56" s="10" t="inlineStr">
        <is>
          <t>c</t>
        </is>
      </c>
      <c r="C56" s="10" t="inlineStr">
        <is>
          <t>CAN conf inverters High</t>
        </is>
      </c>
      <c r="D56" s="10" t="inlineStr">
        <is>
          <t>OUT</t>
        </is>
      </c>
      <c r="E56" s="10" t="n"/>
      <c r="F56" s="12">
        <f>IF(N56="","",INDEX(Wires!$A$2:$A$1000,N56))</f>
        <v/>
      </c>
      <c r="G56" s="12">
        <f>IF(N56="","",INDEX(Wires!$C$2:$C$1000,N56))</f>
        <v/>
      </c>
      <c r="H56" s="12">
        <f>IF(N56="","",IF(O56="from",INDEX(Wires!$F$2:$F$1000,N56)&amp;":"&amp;INDEX(Wires!$G$2:$G$1000,N56),INDEX(Wires!$D$2:$D$1000,N56)&amp;":"&amp;INDEX(Wires!$E$2:$E$1000,N56)))</f>
        <v/>
      </c>
      <c r="I56" s="12">
        <f>IF(N56="","",INDEX(Wires!$H$2:$H$1000,N56)&amp;"")</f>
        <v/>
      </c>
      <c r="J56" s="12">
        <f>IF(N56="","",IF(INDEX(Wires!$I$2:$I$1000,N56)="","",INDEX(Wires!$I$2:$I$1000,N56)))</f>
        <v/>
      </c>
      <c r="K56" s="12">
        <f>COUNTIF(Wires!$W$2:$W$1000,M56)+COUNTIF(Wires!$X$2:$X$1000,M56)</f>
        <v/>
      </c>
      <c r="L56" s="12">
        <f>IF(AND(K56=0,C56&lt;&gt;"",D56&lt;&gt;"NC"),"pino com sinal mas sem fio; ","")&amp;IF(AND(D56="NC",K56&gt;0),"pino NC com fio; ","")&amp;IF(AND(K56&gt;1,ISERROR(MATCH(IFERROR(INDEX(Connectors!$D$2:$D$1000,MATCH(A56,Connectors!$A$2:$A$1000,0)),""),{"SPLICE","STUD"},0))),"vários fios no mesmo pino; ","")</f>
        <v/>
      </c>
      <c r="M56" s="12">
        <f>A56&amp;":"&amp;B56&amp;IF(EXACT(B56,UPPER(B56)),"","|lc")</f>
        <v/>
      </c>
      <c r="N56" s="12">
        <f>IFERROR(MATCH(M56,Wires!$W$2:$W$1000,0),IFERROR(MATCH(M56,Wires!$X$2:$X$1000,0),""))</f>
        <v/>
      </c>
      <c r="O56" s="12">
        <f>IF(N56="","",IF(ISNUMBER(MATCH(M56,Wires!$W$2:$W$1000,0)),"from","to"))</f>
        <v/>
      </c>
    </row>
    <row r="57">
      <c r="A57" s="10" t="inlineStr">
        <is>
          <t>JBOX J1</t>
        </is>
      </c>
      <c r="B57" s="10" t="inlineStr">
        <is>
          <t>d</t>
        </is>
      </c>
      <c r="C57" s="10" t="inlineStr">
        <is>
          <t>CAN conf inverters Low</t>
        </is>
      </c>
      <c r="D57" s="10" t="inlineStr">
        <is>
          <t>OUT</t>
        </is>
      </c>
      <c r="E57" s="10" t="n"/>
      <c r="F57" s="12">
        <f>IF(N57="","",INDEX(Wires!$A$2:$A$1000,N57))</f>
        <v/>
      </c>
      <c r="G57" s="12">
        <f>IF(N57="","",INDEX(Wires!$C$2:$C$1000,N57))</f>
        <v/>
      </c>
      <c r="H57" s="12">
        <f>IF(N57="","",IF(O57="from",INDEX(Wires!$F$2:$F$1000,N57)&amp;":"&amp;INDEX(Wires!$G$2:$G$1000,N57),INDEX(Wires!$D$2:$D$1000,N57)&amp;":"&amp;INDEX(Wires!$E$2:$E$1000,N57)))</f>
        <v/>
      </c>
      <c r="I57" s="12">
        <f>IF(N57="","",INDEX(Wires!$H$2:$H$1000,N57)&amp;"")</f>
        <v/>
      </c>
      <c r="J57" s="12">
        <f>IF(N57="","",IF(INDEX(Wires!$I$2:$I$1000,N57)="","",INDEX(Wires!$I$2:$I$1000,N57)))</f>
        <v/>
      </c>
      <c r="K57" s="12">
        <f>COUNTIF(Wires!$W$2:$W$1000,M57)+COUNTIF(Wires!$X$2:$X$1000,M57)</f>
        <v/>
      </c>
      <c r="L57" s="12">
        <f>IF(AND(K57=0,C57&lt;&gt;"",D57&lt;&gt;"NC"),"pino com sinal mas sem fio; ","")&amp;IF(AND(D57="NC",K57&gt;0),"pino NC com fio; ","")&amp;IF(AND(K57&gt;1,ISERROR(MATCH(IFERROR(INDEX(Connectors!$D$2:$D$1000,MATCH(A57,Connectors!$A$2:$A$1000,0)),""),{"SPLICE","STUD"},0))),"vários fios no mesmo pino; ","")</f>
        <v/>
      </c>
      <c r="M57" s="12">
        <f>A57&amp;":"&amp;B57&amp;IF(EXACT(B57,UPPER(B57)),"","|lc")</f>
        <v/>
      </c>
      <c r="N57" s="12">
        <f>IFERROR(MATCH(M57,Wires!$W$2:$W$1000,0),IFERROR(MATCH(M57,Wires!$X$2:$X$1000,0),""))</f>
        <v/>
      </c>
      <c r="O57" s="12">
        <f>IF(N57="","",IF(ISNUMBER(MATCH(M57,Wires!$W$2:$W$1000,0)),"from","to"))</f>
        <v/>
      </c>
    </row>
    <row r="58">
      <c r="A58" s="10" t="inlineStr">
        <is>
          <t>JBOX J1</t>
        </is>
      </c>
      <c r="B58" s="10" t="inlineStr">
        <is>
          <t>e</t>
        </is>
      </c>
      <c r="C58" s="10" t="n"/>
      <c r="D58" s="10" t="n"/>
      <c r="E58" s="10" t="n"/>
      <c r="F58" s="12">
        <f>IF(N58="","",INDEX(Wires!$A$2:$A$1000,N58))</f>
        <v/>
      </c>
      <c r="G58" s="12">
        <f>IF(N58="","",INDEX(Wires!$C$2:$C$1000,N58))</f>
        <v/>
      </c>
      <c r="H58" s="12">
        <f>IF(N58="","",IF(O58="from",INDEX(Wires!$F$2:$F$1000,N58)&amp;":"&amp;INDEX(Wires!$G$2:$G$1000,N58),INDEX(Wires!$D$2:$D$1000,N58)&amp;":"&amp;INDEX(Wires!$E$2:$E$1000,N58)))</f>
        <v/>
      </c>
      <c r="I58" s="12">
        <f>IF(N58="","",INDEX(Wires!$H$2:$H$1000,N58)&amp;"")</f>
        <v/>
      </c>
      <c r="J58" s="12">
        <f>IF(N58="","",IF(INDEX(Wires!$I$2:$I$1000,N58)="","",INDEX(Wires!$I$2:$I$1000,N58)))</f>
        <v/>
      </c>
      <c r="K58" s="12">
        <f>COUNTIF(Wires!$W$2:$W$1000,M58)+COUNTIF(Wires!$X$2:$X$1000,M58)</f>
        <v/>
      </c>
      <c r="L58" s="12">
        <f>IF(AND(K58=0,C58&lt;&gt;"",D58&lt;&gt;"NC"),"pino com sinal mas sem fio; ","")&amp;IF(AND(D58="NC",K58&gt;0),"pino NC com fio; ","")&amp;IF(AND(K58&gt;1,ISERROR(MATCH(IFERROR(INDEX(Connectors!$D$2:$D$1000,MATCH(A58,Connectors!$A$2:$A$1000,0)),""),{"SPLICE","STUD"},0))),"vários fios no mesmo pino; ","")</f>
        <v/>
      </c>
      <c r="M58" s="12">
        <f>A58&amp;":"&amp;B58&amp;IF(EXACT(B58,UPPER(B58)),"","|lc")</f>
        <v/>
      </c>
      <c r="N58" s="12">
        <f>IFERROR(MATCH(M58,Wires!$W$2:$W$1000,0),IFERROR(MATCH(M58,Wires!$X$2:$X$1000,0),""))</f>
        <v/>
      </c>
      <c r="O58" s="12">
        <f>IF(N58="","",IF(ISNUMBER(MATCH(M58,Wires!$W$2:$W$1000,0)),"from","to"))</f>
        <v/>
      </c>
    </row>
    <row r="59">
      <c r="A59" s="10" t="inlineStr">
        <is>
          <t>JBOX J1</t>
        </is>
      </c>
      <c r="B59" s="10" t="inlineStr">
        <is>
          <t>f</t>
        </is>
      </c>
      <c r="C59" s="10" t="inlineStr">
        <is>
          <t>GND shields</t>
        </is>
      </c>
      <c r="D59" s="10" t="n"/>
      <c r="E59" s="10" t="n"/>
      <c r="F59" s="12">
        <f>IF(N59="","",INDEX(Wires!$A$2:$A$1000,N59))</f>
        <v/>
      </c>
      <c r="G59" s="12">
        <f>IF(N59="","",INDEX(Wires!$C$2:$C$1000,N59))</f>
        <v/>
      </c>
      <c r="H59" s="12">
        <f>IF(N59="","",IF(O59="from",INDEX(Wires!$F$2:$F$1000,N59)&amp;":"&amp;INDEX(Wires!$G$2:$G$1000,N59),INDEX(Wires!$D$2:$D$1000,N59)&amp;":"&amp;INDEX(Wires!$E$2:$E$1000,N59)))</f>
        <v/>
      </c>
      <c r="I59" s="12">
        <f>IF(N59="","",INDEX(Wires!$H$2:$H$1000,N59)&amp;"")</f>
        <v/>
      </c>
      <c r="J59" s="12">
        <f>IF(N59="","",IF(INDEX(Wires!$I$2:$I$1000,N59)="","",INDEX(Wires!$I$2:$I$1000,N59)))</f>
        <v/>
      </c>
      <c r="K59" s="12">
        <f>COUNTIF(Wires!$W$2:$W$1000,M59)+COUNTIF(Wires!$X$2:$X$1000,M59)</f>
        <v/>
      </c>
      <c r="L59" s="12">
        <f>IF(AND(K59=0,C59&lt;&gt;"",D59&lt;&gt;"NC"),"pino com sinal mas sem fio; ","")&amp;IF(AND(D59="NC",K59&gt;0),"pino NC com fio; ","")&amp;IF(AND(K59&gt;1,ISERROR(MATCH(IFERROR(INDEX(Connectors!$D$2:$D$1000,MATCH(A59,Connectors!$A$2:$A$1000,0)),""),{"SPLICE","STUD"},0))),"vários fios no mesmo pino; ","")</f>
        <v/>
      </c>
      <c r="M59" s="12">
        <f>A59&amp;":"&amp;B59&amp;IF(EXACT(B59,UPPER(B59)),"","|lc")</f>
        <v/>
      </c>
      <c r="N59" s="12">
        <f>IFERROR(MATCH(M59,Wires!$W$2:$W$1000,0),IFERROR(MATCH(M59,Wires!$X$2:$X$1000,0),""))</f>
        <v/>
      </c>
      <c r="O59" s="12">
        <f>IF(N59="","",IF(ISNUMBER(MATCH(M59,Wires!$W$2:$W$1000,0)),"from","to"))</f>
        <v/>
      </c>
    </row>
    <row r="60">
      <c r="A60" s="10" t="inlineStr">
        <is>
          <t>JBOX J1</t>
        </is>
      </c>
      <c r="B60" s="10" t="inlineStr">
        <is>
          <t>g</t>
        </is>
      </c>
      <c r="C60" s="10" t="n"/>
      <c r="D60" s="10" t="n"/>
      <c r="E60" s="10" t="n"/>
      <c r="F60" s="12">
        <f>IF(N60="","",INDEX(Wires!$A$2:$A$1000,N60))</f>
        <v/>
      </c>
      <c r="G60" s="12">
        <f>IF(N60="","",INDEX(Wires!$C$2:$C$1000,N60))</f>
        <v/>
      </c>
      <c r="H60" s="12">
        <f>IF(N60="","",IF(O60="from",INDEX(Wires!$F$2:$F$1000,N60)&amp;":"&amp;INDEX(Wires!$G$2:$G$1000,N60),INDEX(Wires!$D$2:$D$1000,N60)&amp;":"&amp;INDEX(Wires!$E$2:$E$1000,N60)))</f>
        <v/>
      </c>
      <c r="I60" s="12">
        <f>IF(N60="","",INDEX(Wires!$H$2:$H$1000,N60)&amp;"")</f>
        <v/>
      </c>
      <c r="J60" s="12">
        <f>IF(N60="","",IF(INDEX(Wires!$I$2:$I$1000,N60)="","",INDEX(Wires!$I$2:$I$1000,N60)))</f>
        <v/>
      </c>
      <c r="K60" s="12">
        <f>COUNTIF(Wires!$W$2:$W$1000,M60)+COUNTIF(Wires!$X$2:$X$1000,M60)</f>
        <v/>
      </c>
      <c r="L60" s="12">
        <f>IF(AND(K60=0,C60&lt;&gt;"",D60&lt;&gt;"NC"),"pino com sinal mas sem fio; ","")&amp;IF(AND(D60="NC",K60&gt;0),"pino NC com fio; ","")&amp;IF(AND(K60&gt;1,ISERROR(MATCH(IFERROR(INDEX(Connectors!$D$2:$D$1000,MATCH(A60,Connectors!$A$2:$A$1000,0)),""),{"SPLICE","STUD"},0))),"vários fios no mesmo pino; ","")</f>
        <v/>
      </c>
      <c r="M60" s="12">
        <f>A60&amp;":"&amp;B60&amp;IF(EXACT(B60,UPPER(B60)),"","|lc")</f>
        <v/>
      </c>
      <c r="N60" s="12">
        <f>IFERROR(MATCH(M60,Wires!$W$2:$W$1000,0),IFERROR(MATCH(M60,Wires!$X$2:$X$1000,0),""))</f>
        <v/>
      </c>
      <c r="O60" s="12">
        <f>IF(N60="","",IF(ISNUMBER(MATCH(M60,Wires!$W$2:$W$1000,0)),"from","to"))</f>
        <v/>
      </c>
    </row>
    <row r="61">
      <c r="A61" s="10" t="inlineStr">
        <is>
          <t>JBOX J1</t>
        </is>
      </c>
      <c r="B61" s="10" t="inlineStr">
        <is>
          <t>h</t>
        </is>
      </c>
      <c r="C61" s="10" t="n"/>
      <c r="D61" s="10" t="n"/>
      <c r="E61" s="10" t="n"/>
      <c r="F61" s="12">
        <f>IF(N61="","",INDEX(Wires!$A$2:$A$1000,N61))</f>
        <v/>
      </c>
      <c r="G61" s="12">
        <f>IF(N61="","",INDEX(Wires!$C$2:$C$1000,N61))</f>
        <v/>
      </c>
      <c r="H61" s="12">
        <f>IF(N61="","",IF(O61="from",INDEX(Wires!$F$2:$F$1000,N61)&amp;":"&amp;INDEX(Wires!$G$2:$G$1000,N61),INDEX(Wires!$D$2:$D$1000,N61)&amp;":"&amp;INDEX(Wires!$E$2:$E$1000,N61)))</f>
        <v/>
      </c>
      <c r="I61" s="12">
        <f>IF(N61="","",INDEX(Wires!$H$2:$H$1000,N61)&amp;"")</f>
        <v/>
      </c>
      <c r="J61" s="12">
        <f>IF(N61="","",IF(INDEX(Wires!$I$2:$I$1000,N61)="","",INDEX(Wires!$I$2:$I$1000,N61)))</f>
        <v/>
      </c>
      <c r="K61" s="12">
        <f>COUNTIF(Wires!$W$2:$W$1000,M61)+COUNTIF(Wires!$X$2:$X$1000,M61)</f>
        <v/>
      </c>
      <c r="L61" s="12">
        <f>IF(AND(K61=0,C61&lt;&gt;"",D61&lt;&gt;"NC"),"pino com sinal mas sem fio; ","")&amp;IF(AND(D61="NC",K61&gt;0),"pino NC com fio; ","")&amp;IF(AND(K61&gt;1,ISERROR(MATCH(IFERROR(INDEX(Connectors!$D$2:$D$1000,MATCH(A61,Connectors!$A$2:$A$1000,0)),""),{"SPLICE","STUD"},0))),"vários fios no mesmo pino; ","")</f>
        <v/>
      </c>
      <c r="M61" s="12">
        <f>A61&amp;":"&amp;B61&amp;IF(EXACT(B61,UPPER(B61)),"","|lc")</f>
        <v/>
      </c>
      <c r="N61" s="12">
        <f>IFERROR(MATCH(M61,Wires!$W$2:$W$1000,0),IFERROR(MATCH(M61,Wires!$X$2:$X$1000,0),""))</f>
        <v/>
      </c>
      <c r="O61" s="12">
        <f>IF(N61="","",IF(ISNUMBER(MATCH(M61,Wires!$W$2:$W$1000,0)),"from","to"))</f>
        <v/>
      </c>
    </row>
    <row r="62">
      <c r="A62" s="10" t="inlineStr">
        <is>
          <t>JBOX J1</t>
        </is>
      </c>
      <c r="B62" s="10" t="inlineStr">
        <is>
          <t>j</t>
        </is>
      </c>
      <c r="C62" s="10" t="n"/>
      <c r="D62" s="10" t="n"/>
      <c r="E62" s="10" t="n"/>
      <c r="F62" s="12">
        <f>IF(N62="","",INDEX(Wires!$A$2:$A$1000,N62))</f>
        <v/>
      </c>
      <c r="G62" s="12">
        <f>IF(N62="","",INDEX(Wires!$C$2:$C$1000,N62))</f>
        <v/>
      </c>
      <c r="H62" s="12">
        <f>IF(N62="","",IF(O62="from",INDEX(Wires!$F$2:$F$1000,N62)&amp;":"&amp;INDEX(Wires!$G$2:$G$1000,N62),INDEX(Wires!$D$2:$D$1000,N62)&amp;":"&amp;INDEX(Wires!$E$2:$E$1000,N62)))</f>
        <v/>
      </c>
      <c r="I62" s="12">
        <f>IF(N62="","",INDEX(Wires!$H$2:$H$1000,N62)&amp;"")</f>
        <v/>
      </c>
      <c r="J62" s="12">
        <f>IF(N62="","",IF(INDEX(Wires!$I$2:$I$1000,N62)="","",INDEX(Wires!$I$2:$I$1000,N62)))</f>
        <v/>
      </c>
      <c r="K62" s="12">
        <f>COUNTIF(Wires!$W$2:$W$1000,M62)+COUNTIF(Wires!$X$2:$X$1000,M62)</f>
        <v/>
      </c>
      <c r="L62" s="12">
        <f>IF(AND(K62=0,C62&lt;&gt;"",D62&lt;&gt;"NC"),"pino com sinal mas sem fio; ","")&amp;IF(AND(D62="NC",K62&gt;0),"pino NC com fio; ","")&amp;IF(AND(K62&gt;1,ISERROR(MATCH(IFERROR(INDEX(Connectors!$D$2:$D$1000,MATCH(A62,Connectors!$A$2:$A$1000,0)),""),{"SPLICE","STUD"},0))),"vários fios no mesmo pino; ","")</f>
        <v/>
      </c>
      <c r="M62" s="12">
        <f>A62&amp;":"&amp;B62&amp;IF(EXACT(B62,UPPER(B62)),"","|lc")</f>
        <v/>
      </c>
      <c r="N62" s="12">
        <f>IFERROR(MATCH(M62,Wires!$W$2:$W$1000,0),IFERROR(MATCH(M62,Wires!$X$2:$X$1000,0),""))</f>
        <v/>
      </c>
      <c r="O62" s="12">
        <f>IF(N62="","",IF(ISNUMBER(MATCH(M62,Wires!$W$2:$W$1000,0)),"from","to"))</f>
        <v/>
      </c>
    </row>
    <row r="63">
      <c r="A63" s="10" t="inlineStr">
        <is>
          <t>FUSE 1</t>
        </is>
      </c>
      <c r="B63" s="10" t="inlineStr">
        <is>
          <t>?1</t>
        </is>
      </c>
      <c r="C63" s="10" t="n"/>
      <c r="D63" s="10" t="n"/>
      <c r="E63" s="10" t="n"/>
      <c r="F63" s="12">
        <f>IF(N63="","",INDEX(Wires!$A$2:$A$1000,N63))</f>
        <v/>
      </c>
      <c r="G63" s="12">
        <f>IF(N63="","",INDEX(Wires!$C$2:$C$1000,N63))</f>
        <v/>
      </c>
      <c r="H63" s="12">
        <f>IF(N63="","",IF(O63="from",INDEX(Wires!$F$2:$F$1000,N63)&amp;":"&amp;INDEX(Wires!$G$2:$G$1000,N63),INDEX(Wires!$D$2:$D$1000,N63)&amp;":"&amp;INDEX(Wires!$E$2:$E$1000,N63)))</f>
        <v/>
      </c>
      <c r="I63" s="12">
        <f>IF(N63="","",INDEX(Wires!$H$2:$H$1000,N63)&amp;"")</f>
        <v/>
      </c>
      <c r="J63" s="12">
        <f>IF(N63="","",IF(INDEX(Wires!$I$2:$I$1000,N63)="","",INDEX(Wires!$I$2:$I$1000,N63)))</f>
        <v/>
      </c>
      <c r="K63" s="12">
        <f>COUNTIF(Wires!$W$2:$W$1000,M63)+COUNTIF(Wires!$X$2:$X$1000,M63)</f>
        <v/>
      </c>
      <c r="L63" s="12">
        <f>IF(AND(K63=0,C63&lt;&gt;"",D63&lt;&gt;"NC"),"pino com sinal mas sem fio; ","")&amp;IF(AND(D63="NC",K63&gt;0),"pino NC com fio; ","")&amp;IF(AND(K63&gt;1,ISERROR(MATCH(IFERROR(INDEX(Connectors!$D$2:$D$1000,MATCH(A63,Connectors!$A$2:$A$1000,0)),""),{"SPLICE","STUD"},0))),"vários fios no mesmo pino; ","")</f>
        <v/>
      </c>
      <c r="M63" s="12">
        <f>A63&amp;":"&amp;B63&amp;IF(EXACT(B63,UPPER(B63)),"","|lc")</f>
        <v/>
      </c>
      <c r="N63" s="12">
        <f>IFERROR(MATCH(M63,Wires!$W$2:$W$1000,0),IFERROR(MATCH(M63,Wires!$X$2:$X$1000,0),""))</f>
        <v/>
      </c>
      <c r="O63" s="12">
        <f>IF(N63="","",IF(ISNUMBER(MATCH(M63,Wires!$W$2:$W$1000,0)),"from","to"))</f>
        <v/>
      </c>
    </row>
    <row r="64">
      <c r="A64" s="10" t="inlineStr">
        <is>
          <t>AIR-</t>
        </is>
      </c>
      <c r="B64" s="10" t="inlineStr">
        <is>
          <t>A2</t>
        </is>
      </c>
      <c r="C64" s="10" t="n"/>
      <c r="D64" s="10" t="n"/>
      <c r="E64" s="10" t="n"/>
      <c r="F64" s="12">
        <f>IF(N64="","",INDEX(Wires!$A$2:$A$1000,N64))</f>
        <v/>
      </c>
      <c r="G64" s="12">
        <f>IF(N64="","",INDEX(Wires!$C$2:$C$1000,N64))</f>
        <v/>
      </c>
      <c r="H64" s="12">
        <f>IF(N64="","",IF(O64="from",INDEX(Wires!$F$2:$F$1000,N64)&amp;":"&amp;INDEX(Wires!$G$2:$G$1000,N64),INDEX(Wires!$D$2:$D$1000,N64)&amp;":"&amp;INDEX(Wires!$E$2:$E$1000,N64)))</f>
        <v/>
      </c>
      <c r="I64" s="12">
        <f>IF(N64="","",INDEX(Wires!$H$2:$H$1000,N64)&amp;"")</f>
        <v/>
      </c>
      <c r="J64" s="12">
        <f>IF(N64="","",IF(INDEX(Wires!$I$2:$I$1000,N64)="","",INDEX(Wires!$I$2:$I$1000,N64)))</f>
        <v/>
      </c>
      <c r="K64" s="12">
        <f>COUNTIF(Wires!$W$2:$W$1000,M64)+COUNTIF(Wires!$X$2:$X$1000,M64)</f>
        <v/>
      </c>
      <c r="L64" s="12">
        <f>IF(AND(K64=0,C64&lt;&gt;"",D64&lt;&gt;"NC"),"pino com sinal mas sem fio; ","")&amp;IF(AND(D64="NC",K64&gt;0),"pino NC com fio; ","")&amp;IF(AND(K64&gt;1,ISERROR(MATCH(IFERROR(INDEX(Connectors!$D$2:$D$1000,MATCH(A64,Connectors!$A$2:$A$1000,0)),""),{"SPLICE","STUD"},0))),"vários fios no mesmo pino; ","")</f>
        <v/>
      </c>
      <c r="M64" s="12">
        <f>A64&amp;":"&amp;B64&amp;IF(EXACT(B64,UPPER(B64)),"","|lc")</f>
        <v/>
      </c>
      <c r="N64" s="12">
        <f>IFERROR(MATCH(M64,Wires!$W$2:$W$1000,0),IFERROR(MATCH(M64,Wires!$X$2:$X$1000,0),""))</f>
        <v/>
      </c>
      <c r="O64" s="12">
        <f>IF(N64="","",IF(ISNUMBER(MATCH(M64,Wires!$W$2:$W$1000,0)),"from","to"))</f>
        <v/>
      </c>
    </row>
    <row r="65">
      <c r="A65" s="10" t="inlineStr">
        <is>
          <t>JBOX J1</t>
        </is>
      </c>
      <c r="B65" s="10" t="inlineStr">
        <is>
          <t>?1</t>
        </is>
      </c>
      <c r="C65" s="10" t="n"/>
      <c r="D65" s="10" t="n"/>
      <c r="E65" s="10" t="n"/>
      <c r="F65" s="12">
        <f>IF(N65="","",INDEX(Wires!$A$2:$A$1000,N65))</f>
        <v/>
      </c>
      <c r="G65" s="12">
        <f>IF(N65="","",INDEX(Wires!$C$2:$C$1000,N65))</f>
        <v/>
      </c>
      <c r="H65" s="12">
        <f>IF(N65="","",IF(O65="from",INDEX(Wires!$F$2:$F$1000,N65)&amp;":"&amp;INDEX(Wires!$G$2:$G$1000,N65),INDEX(Wires!$D$2:$D$1000,N65)&amp;":"&amp;INDEX(Wires!$E$2:$E$1000,N65)))</f>
        <v/>
      </c>
      <c r="I65" s="12">
        <f>IF(N65="","",INDEX(Wires!$H$2:$H$1000,N65)&amp;"")</f>
        <v/>
      </c>
      <c r="J65" s="12">
        <f>IF(N65="","",IF(INDEX(Wires!$I$2:$I$1000,N65)="","",INDEX(Wires!$I$2:$I$1000,N65)))</f>
        <v/>
      </c>
      <c r="K65" s="12">
        <f>COUNTIF(Wires!$W$2:$W$1000,M65)+COUNTIF(Wires!$X$2:$X$1000,M65)</f>
        <v/>
      </c>
      <c r="L65" s="12">
        <f>IF(AND(K65=0,C65&lt;&gt;"",D65&lt;&gt;"NC"),"pino com sinal mas sem fio; ","")&amp;IF(AND(D65="NC",K65&gt;0),"pino NC com fio; ","")&amp;IF(AND(K65&gt;1,ISERROR(MATCH(IFERROR(INDEX(Connectors!$D$2:$D$1000,MATCH(A65,Connectors!$A$2:$A$1000,0)),""),{"SPLICE","STUD"},0))),"vários fios no mesmo pino; ","")</f>
        <v/>
      </c>
      <c r="M65" s="12">
        <f>A65&amp;":"&amp;B65&amp;IF(EXACT(B65,UPPER(B65)),"","|lc")</f>
        <v/>
      </c>
      <c r="N65" s="12">
        <f>IFERROR(MATCH(M65,Wires!$W$2:$W$1000,0),IFERROR(MATCH(M65,Wires!$X$2:$X$1000,0),""))</f>
        <v/>
      </c>
      <c r="O65" s="12">
        <f>IF(N65="","",IF(ISNUMBER(MATCH(M65,Wires!$W$2:$W$1000,0)),"from","to"))</f>
        <v/>
      </c>
    </row>
    <row r="66">
      <c r="A66" s="10" t="inlineStr">
        <is>
          <t>JBOX J1</t>
        </is>
      </c>
      <c r="B66" s="10" t="inlineStr">
        <is>
          <t>?2</t>
        </is>
      </c>
      <c r="C66" s="10" t="n"/>
      <c r="D66" s="10" t="n"/>
      <c r="E66" s="10" t="n"/>
      <c r="F66" s="12">
        <f>IF(N66="","",INDEX(Wires!$A$2:$A$1000,N66))</f>
        <v/>
      </c>
      <c r="G66" s="12">
        <f>IF(N66="","",INDEX(Wires!$C$2:$C$1000,N66))</f>
        <v/>
      </c>
      <c r="H66" s="12">
        <f>IF(N66="","",IF(O66="from",INDEX(Wires!$F$2:$F$1000,N66)&amp;":"&amp;INDEX(Wires!$G$2:$G$1000,N66),INDEX(Wires!$D$2:$D$1000,N66)&amp;":"&amp;INDEX(Wires!$E$2:$E$1000,N66)))</f>
        <v/>
      </c>
      <c r="I66" s="12">
        <f>IF(N66="","",INDEX(Wires!$H$2:$H$1000,N66)&amp;"")</f>
        <v/>
      </c>
      <c r="J66" s="12">
        <f>IF(N66="","",IF(INDEX(Wires!$I$2:$I$1000,N66)="","",INDEX(Wires!$I$2:$I$1000,N66)))</f>
        <v/>
      </c>
      <c r="K66" s="12">
        <f>COUNTIF(Wires!$W$2:$W$1000,M66)+COUNTIF(Wires!$X$2:$X$1000,M66)</f>
        <v/>
      </c>
      <c r="L66" s="12">
        <f>IF(AND(K66=0,C66&lt;&gt;"",D66&lt;&gt;"NC"),"pino com sinal mas sem fio; ","")&amp;IF(AND(D66="NC",K66&gt;0),"pino NC com fio; ","")&amp;IF(AND(K66&gt;1,ISERROR(MATCH(IFERROR(INDEX(Connectors!$D$2:$D$1000,MATCH(A66,Connectors!$A$2:$A$1000,0)),""),{"SPLICE","STUD"},0))),"vários fios no mesmo pino; ","")</f>
        <v/>
      </c>
      <c r="M66" s="12">
        <f>A66&amp;":"&amp;B66&amp;IF(EXACT(B66,UPPER(B66)),"","|lc")</f>
        <v/>
      </c>
      <c r="N66" s="12">
        <f>IFERROR(MATCH(M66,Wires!$W$2:$W$1000,0),IFERROR(MATCH(M66,Wires!$X$2:$X$1000,0),""))</f>
        <v/>
      </c>
      <c r="O66" s="12">
        <f>IF(N66="","",IF(ISNUMBER(MATCH(M66,Wires!$W$2:$W$1000,0)),"from","to"))</f>
        <v/>
      </c>
    </row>
    <row r="67">
      <c r="A67" s="10" t="inlineStr">
        <is>
          <t>GND BOARD</t>
        </is>
      </c>
      <c r="B67" s="10" t="inlineStr">
        <is>
          <t>GND</t>
        </is>
      </c>
      <c r="C67" s="10" t="n"/>
      <c r="D67" s="10" t="n"/>
      <c r="E67" s="10" t="n"/>
      <c r="F67" s="12">
        <f>IF(N67="","",INDEX(Wires!$A$2:$A$1000,N67))</f>
        <v/>
      </c>
      <c r="G67" s="12">
        <f>IF(N67="","",INDEX(Wires!$C$2:$C$1000,N67))</f>
        <v/>
      </c>
      <c r="H67" s="12">
        <f>IF(N67="","",IF(O67="from",INDEX(Wires!$F$2:$F$1000,N67)&amp;":"&amp;INDEX(Wires!$G$2:$G$1000,N67),INDEX(Wires!$D$2:$D$1000,N67)&amp;":"&amp;INDEX(Wires!$E$2:$E$1000,N67)))</f>
        <v/>
      </c>
      <c r="I67" s="12">
        <f>IF(N67="","",INDEX(Wires!$H$2:$H$1000,N67)&amp;"")</f>
        <v/>
      </c>
      <c r="J67" s="12">
        <f>IF(N67="","",IF(INDEX(Wires!$I$2:$I$1000,N67)="","",INDEX(Wires!$I$2:$I$1000,N67)))</f>
        <v/>
      </c>
      <c r="K67" s="12">
        <f>COUNTIF(Wires!$W$2:$W$1000,M67)+COUNTIF(Wires!$X$2:$X$1000,M67)</f>
        <v/>
      </c>
      <c r="L67" s="12">
        <f>IF(AND(K67=0,C67&lt;&gt;"",D67&lt;&gt;"NC"),"pino com sinal mas sem fio; ","")&amp;IF(AND(D67="NC",K67&gt;0),"pino NC com fio; ","")&amp;IF(AND(K67&gt;1,ISERROR(MATCH(IFERROR(INDEX(Connectors!$D$2:$D$1000,MATCH(A67,Connectors!$A$2:$A$1000,0)),""),{"SPLICE","STUD"},0))),"vários fios no mesmo pino; ","")</f>
        <v/>
      </c>
      <c r="M67" s="12">
        <f>A67&amp;":"&amp;B67&amp;IF(EXACT(B67,UPPER(B67)),"","|lc")</f>
        <v/>
      </c>
      <c r="N67" s="12">
        <f>IFERROR(MATCH(M67,Wires!$W$2:$W$1000,0),IFERROR(MATCH(M67,Wires!$X$2:$X$1000,0),""))</f>
        <v/>
      </c>
      <c r="O67" s="12">
        <f>IF(N67="","",IF(ISNUMBER(MATCH(M67,Wires!$W$2:$W$1000,0)),"from","to"))</f>
        <v/>
      </c>
    </row>
    <row r="68">
      <c r="A68" s="10" t="inlineStr">
        <is>
          <t>GROUND POINT</t>
        </is>
      </c>
      <c r="B68" s="10" t="inlineStr">
        <is>
          <t>GND</t>
        </is>
      </c>
      <c r="C68" s="10" t="n"/>
      <c r="D68" s="10" t="n"/>
      <c r="E68" s="10" t="n"/>
      <c r="F68" s="12">
        <f>IF(N68="","",INDEX(Wires!$A$2:$A$1000,N68))</f>
        <v/>
      </c>
      <c r="G68" s="12">
        <f>IF(N68="","",INDEX(Wires!$C$2:$C$1000,N68))</f>
        <v/>
      </c>
      <c r="H68" s="12">
        <f>IF(N68="","",IF(O68="from",INDEX(Wires!$F$2:$F$1000,N68)&amp;":"&amp;INDEX(Wires!$G$2:$G$1000,N68),INDEX(Wires!$D$2:$D$1000,N68)&amp;":"&amp;INDEX(Wires!$E$2:$E$1000,N68)))</f>
        <v/>
      </c>
      <c r="I68" s="12">
        <f>IF(N68="","",INDEX(Wires!$H$2:$H$1000,N68)&amp;"")</f>
        <v/>
      </c>
      <c r="J68" s="12">
        <f>IF(N68="","",IF(INDEX(Wires!$I$2:$I$1000,N68)="","",INDEX(Wires!$I$2:$I$1000,N68)))</f>
        <v/>
      </c>
      <c r="K68" s="12">
        <f>COUNTIF(Wires!$W$2:$W$1000,M68)+COUNTIF(Wires!$X$2:$X$1000,M68)</f>
        <v/>
      </c>
      <c r="L68" s="12">
        <f>IF(AND(K68=0,C68&lt;&gt;"",D68&lt;&gt;"NC"),"pino com sinal mas sem fio; ","")&amp;IF(AND(D68="NC",K68&gt;0),"pino NC com fio; ","")&amp;IF(AND(K68&gt;1,ISERROR(MATCH(IFERROR(INDEX(Connectors!$D$2:$D$1000,MATCH(A68,Connectors!$A$2:$A$1000,0)),""),{"SPLICE","STUD"},0))),"vários fios no mesmo pino; ","")</f>
        <v/>
      </c>
      <c r="M68" s="12">
        <f>A68&amp;":"&amp;B68&amp;IF(EXACT(B68,UPPER(B68)),"","|lc")</f>
        <v/>
      </c>
      <c r="N68" s="12">
        <f>IFERROR(MATCH(M68,Wires!$W$2:$W$1000,0),IFERROR(MATCH(M68,Wires!$X$2:$X$1000,0),""))</f>
        <v/>
      </c>
      <c r="O68" s="12">
        <f>IF(N68="","",IF(ISNUMBER(MATCH(M68,Wires!$W$2:$W$1000,0)),"from","to"))</f>
        <v/>
      </c>
    </row>
  </sheetData>
  <autoFilter ref="A1:O68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  <row r="2">
      <c r="A2" s="13" t="inlineStr">
        <is>
          <t>MS20W23F-10</t>
        </is>
      </c>
      <c r="B2" s="10" t="inlineStr">
        <is>
          <t>Amphenol Sine RTS (ecomate, circular)</t>
        </is>
      </c>
      <c r="C2" s="10" t="inlineStr">
        <is>
          <t>crimp</t>
        </is>
      </c>
      <c r="D2" s="10" t="inlineStr">
        <is>
          <t>contacto fêmea tamanho 20, crimp</t>
        </is>
      </c>
      <c r="E2" s="10" t="inlineStr">
        <is>
          <t>20–22 AWG</t>
        </is>
      </c>
      <c r="F2" s="10" t="inlineStr">
        <is>
          <t>Notion · LART Central / Electronics / Inventory Management / BOM Management / Connectors Harness (2026-10-22)</t>
        </is>
      </c>
      <c r="G2" s="10" t="inlineStr">
        <is>
          <t>N</t>
        </is>
      </c>
      <c r="H2" s="11" t="n"/>
    </row>
    <row r="3">
      <c r="A3" s="13" t="inlineStr">
        <is>
          <t>RTS718N32S03</t>
        </is>
      </c>
      <c r="B3" s="10" t="inlineStr">
        <is>
          <t>Amphenol Sine RTS (ecomate, circular)</t>
        </is>
      </c>
      <c r="C3" s="10" t="inlineStr">
        <is>
          <t>ficha</t>
        </is>
      </c>
      <c r="D3" s="10" t="inlineStr">
        <is>
          <t>32 vias · conector principal das caixas: Rasp Box, Data Box, LV Box ×2, Junction Box, Acumulador</t>
        </is>
      </c>
      <c r="E3" s="10" t="n"/>
      <c r="F3" s="10" t="inlineStr">
        <is>
          <t>Notion · LART Central / Electronics / Inventory Management / BOM Management / Connectors Harness (2026-10-22)</t>
        </is>
      </c>
      <c r="G3" s="10" t="inlineStr">
        <is>
          <t>N</t>
        </is>
      </c>
      <c r="H3" s="11" t="n"/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menor</t>
        </is>
      </c>
      <c r="C2" s="2" t="inlineStr">
        <is>
          <t>3 linha(s)</t>
        </is>
      </c>
      <c r="D2" s="2" t="inlineStr">
        <is>
          <t>Destino sem pino: TSAL RED J1:1 → destino FUSE 1 sem pino (folha TSAL Red); TSAL RED D2:1 → destino JBOX J1 sem pino (folha TSAL Red); TSAL RED D2:2 → destino JBOX J1 sem pino (folha TSAL Red)</t>
        </is>
      </c>
      <c r="E2" s="2" t="n"/>
      <c r="F2" s="2" t="n"/>
      <c r="G2" s="2" t="inlineStr">
        <is>
          <t>Pino marcado "?"</t>
        </is>
      </c>
      <c r="H2" s="11" t="n"/>
      <c r="I2" s="10" t="inlineStr">
        <is>
          <t>aberto</t>
        </is>
      </c>
      <c r="J2" s="12">
        <f>COUNTIF(Wires!$U$2:$U$1000,"*"&amp;A2&amp;"*")</f>
        <v/>
      </c>
    </row>
    <row r="3">
      <c r="A3" s="2" t="inlineStr">
        <is>
          <t>I-02</t>
        </is>
      </c>
      <c r="B3" s="2" t="inlineStr">
        <is>
          <t>info</t>
        </is>
      </c>
      <c r="C3" s="2" t="inlineStr">
        <is>
          <t>destinos</t>
        </is>
      </c>
      <c r="D3" s="2" t="inlineStr">
        <is>
          <t>4 conector(es) só aparecem como destino, sem folha própria: AIR-, FUSE 1, GND BOARD, GROUND POINT.</t>
        </is>
      </c>
      <c r="E3" s="2" t="n"/>
      <c r="F3" s="2" t="n"/>
      <c r="G3" s="2" t="n"/>
      <c r="H3" s="11" t="n"/>
      <c r="I3" s="10" t="inlineStr">
        <is>
          <t>aberto</t>
        </is>
      </c>
      <c r="J3" s="12">
        <f>COUNTIF(Wires!$U$2:$U$1000,"*"&amp;A3&amp;"*")</f>
        <v/>
      </c>
    </row>
    <row r="4">
      <c r="A4" s="2" t="inlineStr">
        <is>
          <t>I-03</t>
        </is>
      </c>
      <c r="B4" s="2" t="inlineStr">
        <is>
          <t>info</t>
        </is>
      </c>
      <c r="C4" s="2" t="inlineStr">
        <is>
          <t>reciprocidade</t>
        </is>
      </c>
      <c r="D4" s="2" t="inlineStr">
        <is>
          <t>2 fio(s) só estão escritos numa das pontas, embora as duas tenham folha: TSAL RED D2:1→JBOX J1:?1, TSAL RED D2:2→JBOX J1:?2</t>
        </is>
      </c>
      <c r="E4" s="2" t="n"/>
      <c r="F4" s="2" t="n"/>
      <c r="G4" s="2" t="n"/>
      <c r="H4" s="11" t="n"/>
      <c r="I4" s="10" t="inlineStr">
        <is>
          <t>aberto</t>
        </is>
      </c>
      <c r="J4" s="12">
        <f>COUNTIF(Wires!$U$2:$U$1000,"*"&amp;A4&amp;"*")</f>
        <v/>
      </c>
    </row>
    <row r="5">
      <c r="A5" s="2" t="inlineStr">
        <is>
          <t>I-04</t>
        </is>
      </c>
      <c r="B5" s="2" t="inlineStr">
        <is>
          <t>info</t>
        </is>
      </c>
      <c r="C5" s="2" t="inlineStr">
        <is>
          <t>folhas</t>
        </is>
      </c>
      <c r="D5" s="2" t="inlineStr">
        <is>
          <t>Folhas não lidas: Sensors &amp; Actuators (folha sem tabela Conector/Pin — não lida)</t>
        </is>
      </c>
      <c r="E5" s="2" t="n"/>
      <c r="F5" s="2" t="n"/>
      <c r="G5" s="2" t="n"/>
      <c r="H5" s="11" t="n"/>
      <c r="I5" s="10" t="inlineStr">
        <is>
          <t>aberto</t>
        </is>
      </c>
      <c r="J5" s="12">
        <f>COUNTIF(Wires!$U$2:$U$1000,"*"&amp;A5&amp;"*")</f>
        <v/>
      </c>
    </row>
  </sheetData>
  <autoFilter ref="A1:J5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10" t="inlineStr">
        <is>
          <t>Cores IEC 60757</t>
        </is>
      </c>
      <c r="E2" s="10" t="inlineStr">
        <is>
          <t>Secção → AWG (equivalência aproximada)</t>
        </is>
      </c>
    </row>
    <row r="3">
      <c r="A3" s="10" t="inlineStr">
        <is>
          <t>BK</t>
        </is>
      </c>
      <c r="B3" s="10" t="inlineStr">
        <is>
          <t>preto</t>
        </is>
      </c>
      <c r="C3" s="10" t="n"/>
      <c r="E3" s="10" t="n">
        <v>0.14</v>
      </c>
      <c r="F3" s="10" t="n">
        <v>26</v>
      </c>
    </row>
    <row r="4">
      <c r="A4" s="10" t="inlineStr">
        <is>
          <t>BN</t>
        </is>
      </c>
      <c r="B4" s="10" t="inlineStr">
        <is>
          <t>castanho</t>
        </is>
      </c>
      <c r="C4" s="10" t="inlineStr">
        <is>
          <t>GND</t>
        </is>
      </c>
      <c r="E4" s="10" t="n">
        <v>0.22</v>
      </c>
      <c r="F4" s="10" t="n">
        <v>24</v>
      </c>
    </row>
    <row r="5">
      <c r="A5" s="10" t="inlineStr">
        <is>
          <t>RD</t>
        </is>
      </c>
      <c r="B5" s="10" t="inlineStr">
        <is>
          <t>vermelho</t>
        </is>
      </c>
      <c r="C5" s="10" t="inlineStr">
        <is>
          <t>CAN H</t>
        </is>
      </c>
      <c r="E5" s="10" t="n">
        <v>0.35</v>
      </c>
      <c r="F5" s="10" t="n">
        <v>22</v>
      </c>
    </row>
    <row r="6">
      <c r="A6" s="10" t="inlineStr">
        <is>
          <t>OG</t>
        </is>
      </c>
      <c r="B6" s="10" t="inlineStr">
        <is>
          <t>laranja</t>
        </is>
      </c>
      <c r="C6" s="10" t="inlineStr">
        <is>
          <t>HV (obrigatório)</t>
        </is>
      </c>
      <c r="E6" s="10" t="n">
        <v>0.5</v>
      </c>
      <c r="F6" s="10" t="n">
        <v>20</v>
      </c>
    </row>
    <row r="7">
      <c r="A7" s="10" t="inlineStr">
        <is>
          <t>YE</t>
        </is>
      </c>
      <c r="B7" s="10" t="inlineStr">
        <is>
          <t>amarelo</t>
        </is>
      </c>
      <c r="C7" s="10" t="inlineStr">
        <is>
          <t>+24 V</t>
        </is>
      </c>
      <c r="E7" s="10" t="n">
        <v>0.75</v>
      </c>
      <c r="F7" s="10" t="n">
        <v>18</v>
      </c>
    </row>
    <row r="8">
      <c r="A8" s="10" t="inlineStr">
        <is>
          <t>GN</t>
        </is>
      </c>
      <c r="B8" s="10" t="inlineStr">
        <is>
          <t>verde</t>
        </is>
      </c>
      <c r="C8" s="10" t="inlineStr">
        <is>
          <t>CAN carregador H</t>
        </is>
      </c>
      <c r="E8" s="10" t="n">
        <v>1</v>
      </c>
      <c r="F8" s="10" t="n">
        <v>17</v>
      </c>
    </row>
    <row r="9">
      <c r="A9" s="10" t="inlineStr">
        <is>
          <t>BU</t>
        </is>
      </c>
      <c r="B9" s="10" t="inlineStr">
        <is>
          <t>azul</t>
        </is>
      </c>
      <c r="C9" s="10" t="inlineStr">
        <is>
          <t>SDC / CAN L</t>
        </is>
      </c>
      <c r="E9" s="10" t="n">
        <v>1.5</v>
      </c>
      <c r="F9" s="10" t="n">
        <v>16</v>
      </c>
    </row>
    <row r="10">
      <c r="A10" s="10" t="inlineStr">
        <is>
          <t>VT</t>
        </is>
      </c>
      <c r="B10" s="10" t="inlineStr">
        <is>
          <t>violeta</t>
        </is>
      </c>
      <c r="C10" s="10" t="inlineStr">
        <is>
          <t>CAN carregador L</t>
        </is>
      </c>
      <c r="E10" s="10" t="n">
        <v>2.5</v>
      </c>
      <c r="F10" s="10" t="n">
        <v>14</v>
      </c>
    </row>
    <row r="11">
      <c r="A11" s="10" t="inlineStr">
        <is>
          <t>GY</t>
        </is>
      </c>
      <c r="B11" s="10" t="inlineStr">
        <is>
          <t>cinzento</t>
        </is>
      </c>
      <c r="C11" s="10" t="n"/>
      <c r="E11" s="10" t="n">
        <v>4</v>
      </c>
      <c r="F11" s="10" t="n">
        <v>12</v>
      </c>
    </row>
    <row r="12">
      <c r="A12" s="10" t="inlineStr">
        <is>
          <t>WH</t>
        </is>
      </c>
      <c r="B12" s="10" t="inlineStr">
        <is>
          <t>branco</t>
        </is>
      </c>
      <c r="C12" s="10" t="inlineStr">
        <is>
          <t>sinal</t>
        </is>
      </c>
      <c r="E12" s="10" t="n">
        <v>6</v>
      </c>
      <c r="F12" s="10" t="n">
        <v>10</v>
      </c>
    </row>
    <row r="13">
      <c r="A13" s="10" t="inlineStr">
        <is>
          <t>PK</t>
        </is>
      </c>
      <c r="B13" s="10" t="inlineStr">
        <is>
          <t>rosa</t>
        </is>
      </c>
      <c r="C13" s="10" t="n"/>
      <c r="E13" s="10" t="n">
        <v>10</v>
      </c>
      <c r="F13" s="10" t="n">
        <v>8</v>
      </c>
    </row>
    <row r="14">
      <c r="A14" s="10" t="inlineStr">
        <is>
          <t>TQ</t>
        </is>
      </c>
      <c r="B14" s="10" t="inlineStr">
        <is>
          <t>turquesa</t>
        </is>
      </c>
      <c r="C14" s="10" t="n"/>
      <c r="E14" s="10" t="n">
        <v>16</v>
      </c>
      <c r="F14" s="10" t="n">
        <v>6</v>
      </c>
    </row>
    <row r="15">
      <c r="E15" s="10" t="n">
        <v>25</v>
      </c>
      <c r="F15" s="10" t="n">
        <v>4</v>
      </c>
    </row>
    <row r="16">
      <c r="E16" s="10" t="n">
        <v>35</v>
      </c>
      <c r="F16" s="10" t="n">
        <v>2</v>
      </c>
    </row>
    <row r="17">
      <c r="E17" s="10" t="n">
        <v>50</v>
      </c>
      <c r="F17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2026-10-22T22:33:29Z</dcterms:created>
  <dcterms:modified xsi:type="dcterms:W3CDTF">2026-10-22T22:33:29Z</dcterms:modified>
</cp:coreProperties>
</file>